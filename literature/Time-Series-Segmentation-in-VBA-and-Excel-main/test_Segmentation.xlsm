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Ongoing\time series segmentation\Time-Series-Segmentation-in-VBA-and-Excel-main\"/>
    </mc:Choice>
  </mc:AlternateContent>
  <xr:revisionPtr revIDLastSave="0" documentId="8_{DEC0692B-165F-4481-801F-F41BF621ED00}" xr6:coauthVersionLast="47" xr6:coauthVersionMax="47" xr10:uidLastSave="{00000000-0000-0000-0000-000000000000}"/>
  <bookViews>
    <workbookView xWindow="30600" yWindow="765" windowWidth="17070" windowHeight="10440" xr2:uid="{E816FC96-2E13-45AA-BD03-7C1111A6238D}"/>
  </bookViews>
  <sheets>
    <sheet name="Sheet1" sheetId="1" r:id="rId1"/>
    <sheet name="Illustrate" sheetId="3" r:id="rId2"/>
    <sheet name="Sheet3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6" i="1" l="1"/>
  <c r="K17" i="4"/>
  <c r="K16" i="4"/>
  <c r="K11" i="4"/>
  <c r="K10" i="4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U5" i="1"/>
  <c r="R5" i="1"/>
  <c r="O5" i="1"/>
  <c r="L5" i="1"/>
  <c r="I5" i="1"/>
  <c r="F5" i="1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B27" i="3"/>
  <c r="B28" i="3" s="1"/>
  <c r="B29" i="3" s="1"/>
  <c r="B30" i="3" s="1"/>
  <c r="B31" i="3" s="1"/>
  <c r="B32" i="3" s="1"/>
  <c r="AN7" i="1"/>
  <c r="AO6" i="1"/>
  <c r="AM8" i="1"/>
  <c r="AM9" i="1" s="1"/>
  <c r="AO9" i="1" s="1"/>
  <c r="AM7" i="1"/>
  <c r="AO7" i="1" s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B33" i="3" l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AN8" i="1"/>
  <c r="AO8" i="1"/>
  <c r="AP8" i="1" s="1"/>
  <c r="AN9" i="1"/>
  <c r="AQ9" i="1" s="1"/>
  <c r="AQ7" i="1"/>
  <c r="AQ6" i="1"/>
  <c r="AP6" i="1"/>
  <c r="AM10" i="1"/>
  <c r="AP7" i="1"/>
  <c r="C5" i="1"/>
  <c r="AQ8" i="1" l="1"/>
  <c r="AO10" i="1"/>
  <c r="AN10" i="1"/>
  <c r="AP9" i="1"/>
  <c r="AM11" i="1"/>
  <c r="AO11" i="1" l="1"/>
  <c r="AN11" i="1"/>
  <c r="AQ10" i="1"/>
  <c r="AP10" i="1"/>
  <c r="AM12" i="1"/>
  <c r="AQ11" i="1" l="1"/>
  <c r="AO12" i="1"/>
  <c r="AN12" i="1"/>
  <c r="AP11" i="1"/>
  <c r="AM13" i="1"/>
  <c r="AO13" i="1" l="1"/>
  <c r="AN13" i="1"/>
  <c r="AQ12" i="1"/>
  <c r="AM14" i="1"/>
  <c r="AP12" i="1"/>
  <c r="AO14" i="1" l="1"/>
  <c r="AN14" i="1"/>
  <c r="AQ13" i="1"/>
  <c r="AP13" i="1"/>
  <c r="AM15" i="1"/>
  <c r="AQ14" i="1" l="1"/>
  <c r="AO15" i="1"/>
  <c r="AN15" i="1"/>
  <c r="AP14" i="1"/>
  <c r="AM16" i="1"/>
  <c r="AP15" i="1" l="1"/>
  <c r="AO16" i="1"/>
  <c r="AN16" i="1"/>
  <c r="AQ15" i="1"/>
  <c r="AM17" i="1"/>
  <c r="AO17" i="1" l="1"/>
  <c r="AN17" i="1"/>
  <c r="AQ16" i="1"/>
  <c r="AP16" i="1"/>
  <c r="AM18" i="1"/>
  <c r="AO18" i="1" l="1"/>
  <c r="AN18" i="1"/>
  <c r="AQ17" i="1"/>
  <c r="AP17" i="1"/>
  <c r="AM19" i="1"/>
  <c r="AO19" i="1" l="1"/>
  <c r="AP19" i="1" s="1"/>
  <c r="AN19" i="1"/>
  <c r="AQ18" i="1"/>
  <c r="AP18" i="1"/>
  <c r="AM20" i="1"/>
  <c r="AQ19" i="1" l="1"/>
  <c r="AO20" i="1"/>
  <c r="AN20" i="1"/>
  <c r="AM21" i="1"/>
  <c r="AQ20" i="1" l="1"/>
  <c r="AO21" i="1"/>
  <c r="AN21" i="1"/>
  <c r="AP20" i="1"/>
  <c r="AM22" i="1"/>
  <c r="AO22" i="1" l="1"/>
  <c r="AN22" i="1"/>
  <c r="AQ21" i="1"/>
  <c r="AM23" i="1"/>
  <c r="AP21" i="1"/>
  <c r="AO23" i="1" l="1"/>
  <c r="AN23" i="1"/>
  <c r="AQ22" i="1"/>
  <c r="AP22" i="1"/>
  <c r="AM24" i="1"/>
  <c r="AP23" i="1" l="1"/>
  <c r="AO24" i="1"/>
  <c r="AN24" i="1"/>
  <c r="AQ23" i="1"/>
  <c r="AM25" i="1"/>
  <c r="AQ24" i="1" l="1"/>
  <c r="AO25" i="1"/>
  <c r="AN25" i="1"/>
  <c r="AM26" i="1"/>
  <c r="AP24" i="1"/>
  <c r="AQ25" i="1" l="1"/>
  <c r="AO26" i="1"/>
  <c r="AN26" i="1"/>
  <c r="AM27" i="1"/>
  <c r="AP25" i="1"/>
  <c r="AQ26" i="1" l="1"/>
  <c r="AO27" i="1"/>
  <c r="AP27" i="1" s="1"/>
  <c r="AN27" i="1"/>
  <c r="AP26" i="1"/>
  <c r="AM28" i="1"/>
  <c r="AO28" i="1" l="1"/>
  <c r="AN28" i="1"/>
  <c r="AQ27" i="1"/>
  <c r="AM29" i="1"/>
  <c r="AQ28" i="1" l="1"/>
  <c r="AO29" i="1"/>
  <c r="AN29" i="1"/>
  <c r="AP28" i="1"/>
  <c r="AM30" i="1"/>
  <c r="AQ29" i="1" l="1"/>
  <c r="AO30" i="1"/>
  <c r="AN30" i="1"/>
  <c r="AP29" i="1"/>
  <c r="AQ30" i="1" l="1"/>
  <c r="AP30" i="1"/>
</calcChain>
</file>

<file path=xl/sharedStrings.xml><?xml version="1.0" encoding="utf-8"?>
<sst xmlns="http://schemas.openxmlformats.org/spreadsheetml/2006/main" count="28" uniqueCount="11">
  <si>
    <t>Date</t>
  </si>
  <si>
    <t>Value</t>
  </si>
  <si>
    <t>n_segment</t>
  </si>
  <si>
    <t>sign penalty</t>
  </si>
  <si>
    <t>Hang Seng Index</t>
  </si>
  <si>
    <t>From</t>
  </si>
  <si>
    <t>To</t>
  </si>
  <si>
    <t>Market Performance</t>
  </si>
  <si>
    <t># days</t>
  </si>
  <si>
    <t>Raw input</t>
  </si>
  <si>
    <t>Compression at different rates and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</si>
</sst>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;[Red]\-0.0%;&quot;-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3" fillId="0" borderId="0" xfId="0" applyFont="1"/>
    <xf numFmtId="0" fontId="3" fillId="2" borderId="0" xfId="0" applyFont="1" applyFill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4" fontId="3" fillId="3" borderId="4" xfId="0" applyNumberFormat="1" applyFont="1" applyFill="1" applyBorder="1" applyAlignment="1">
      <alignment horizontal="center"/>
    </xf>
    <xf numFmtId="14" fontId="3" fillId="3" borderId="0" xfId="0" applyNumberFormat="1" applyFont="1" applyFill="1" applyAlignment="1">
      <alignment horizontal="center"/>
    </xf>
    <xf numFmtId="0" fontId="3" fillId="3" borderId="2" xfId="0" applyFont="1" applyFill="1" applyBorder="1" applyAlignment="1">
      <alignment horizontal="center" wrapText="1"/>
    </xf>
    <xf numFmtId="164" fontId="3" fillId="3" borderId="0" xfId="1" applyNumberFormat="1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2" fillId="0" borderId="6" xfId="0" applyFont="1" applyBorder="1"/>
    <xf numFmtId="0" fontId="0" fillId="0" borderId="6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6E-4F4C-B9F5-72520D9DC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Sheet1!$I$5</c:f>
              <c:strCache>
                <c:ptCount val="1"/>
                <c:pt idx="0">
                  <c:v>Compressed (segment=50, sign penalty=0)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Sheet1!$H$6:$H$3005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42096</c:v>
                </c:pt>
                <c:pt idx="2">
                  <c:v>42107</c:v>
                </c:pt>
                <c:pt idx="3">
                  <c:v>42227</c:v>
                </c:pt>
                <c:pt idx="4">
                  <c:v>42254</c:v>
                </c:pt>
                <c:pt idx="5">
                  <c:v>42284</c:v>
                </c:pt>
                <c:pt idx="6">
                  <c:v>42369</c:v>
                </c:pt>
                <c:pt idx="7">
                  <c:v>42390</c:v>
                </c:pt>
                <c:pt idx="8">
                  <c:v>42488</c:v>
                </c:pt>
                <c:pt idx="9">
                  <c:v>42514</c:v>
                </c:pt>
                <c:pt idx="10">
                  <c:v>42649</c:v>
                </c:pt>
                <c:pt idx="11">
                  <c:v>42727</c:v>
                </c:pt>
                <c:pt idx="12">
                  <c:v>42788</c:v>
                </c:pt>
                <c:pt idx="13">
                  <c:v>43068</c:v>
                </c:pt>
                <c:pt idx="14">
                  <c:v>43075</c:v>
                </c:pt>
                <c:pt idx="15">
                  <c:v>43126</c:v>
                </c:pt>
                <c:pt idx="16">
                  <c:v>43143</c:v>
                </c:pt>
                <c:pt idx="17">
                  <c:v>43179</c:v>
                </c:pt>
                <c:pt idx="18">
                  <c:v>43258</c:v>
                </c:pt>
                <c:pt idx="19">
                  <c:v>43278</c:v>
                </c:pt>
                <c:pt idx="20">
                  <c:v>43371</c:v>
                </c:pt>
                <c:pt idx="21">
                  <c:v>43403</c:v>
                </c:pt>
                <c:pt idx="22">
                  <c:v>43588</c:v>
                </c:pt>
                <c:pt idx="23">
                  <c:v>43620</c:v>
                </c:pt>
                <c:pt idx="24">
                  <c:v>43671</c:v>
                </c:pt>
                <c:pt idx="25">
                  <c:v>43690</c:v>
                </c:pt>
                <c:pt idx="26">
                  <c:v>43777</c:v>
                </c:pt>
                <c:pt idx="27">
                  <c:v>43803</c:v>
                </c:pt>
                <c:pt idx="28">
                  <c:v>43843</c:v>
                </c:pt>
                <c:pt idx="29">
                  <c:v>43895</c:v>
                </c:pt>
                <c:pt idx="30">
                  <c:v>43913</c:v>
                </c:pt>
                <c:pt idx="31">
                  <c:v>43915</c:v>
                </c:pt>
                <c:pt idx="32">
                  <c:v>44067</c:v>
                </c:pt>
                <c:pt idx="33">
                  <c:v>44098</c:v>
                </c:pt>
                <c:pt idx="34">
                  <c:v>44145</c:v>
                </c:pt>
                <c:pt idx="35">
                  <c:v>44193</c:v>
                </c:pt>
                <c:pt idx="36">
                  <c:v>44244</c:v>
                </c:pt>
                <c:pt idx="37">
                  <c:v>44263</c:v>
                </c:pt>
                <c:pt idx="38">
                  <c:v>44342</c:v>
                </c:pt>
                <c:pt idx="39">
                  <c:v>44475</c:v>
                </c:pt>
                <c:pt idx="40">
                  <c:v>44489</c:v>
                </c:pt>
                <c:pt idx="41">
                  <c:v>44550</c:v>
                </c:pt>
                <c:pt idx="42">
                  <c:v>44609</c:v>
                </c:pt>
                <c:pt idx="43">
                  <c:v>44631</c:v>
                </c:pt>
                <c:pt idx="44">
                  <c:v>44655</c:v>
                </c:pt>
                <c:pt idx="45">
                  <c:v>44693</c:v>
                </c:pt>
                <c:pt idx="46">
                  <c:v>44740</c:v>
                </c:pt>
                <c:pt idx="47">
                  <c:v>44813</c:v>
                </c:pt>
                <c:pt idx="48">
                  <c:v>44865</c:v>
                </c:pt>
                <c:pt idx="49">
                  <c:v>44880</c:v>
                </c:pt>
                <c:pt idx="50">
                  <c:v>44960</c:v>
                </c:pt>
              </c:numCache>
            </c:numRef>
          </c:xVal>
          <c:yVal>
            <c:numRef>
              <c:f>Sheet1!$I$6:$I$3005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10.137596389759352</c:v>
                </c:pt>
                <c:pt idx="2">
                  <c:v>10.240543184806144</c:v>
                </c:pt>
                <c:pt idx="3">
                  <c:v>10.106355370927739</c:v>
                </c:pt>
                <c:pt idx="4">
                  <c:v>9.9322460118216842</c:v>
                </c:pt>
                <c:pt idx="5">
                  <c:v>10.021970777047517</c:v>
                </c:pt>
                <c:pt idx="6">
                  <c:v>9.9948992518123898</c:v>
                </c:pt>
                <c:pt idx="7">
                  <c:v>9.8278018189635041</c:v>
                </c:pt>
                <c:pt idx="8">
                  <c:v>9.9705866658544799</c:v>
                </c:pt>
                <c:pt idx="9">
                  <c:v>9.8949728898620357</c:v>
                </c:pt>
                <c:pt idx="10">
                  <c:v>10.083827981525028</c:v>
                </c:pt>
                <c:pt idx="11">
                  <c:v>9.9792793810576548</c:v>
                </c:pt>
                <c:pt idx="12">
                  <c:v>10.094188939357853</c:v>
                </c:pt>
                <c:pt idx="13">
                  <c:v>10.296334386619666</c:v>
                </c:pt>
                <c:pt idx="14">
                  <c:v>10.247956330746717</c:v>
                </c:pt>
                <c:pt idx="15">
                  <c:v>10.408922304448431</c:v>
                </c:pt>
                <c:pt idx="16">
                  <c:v>10.290776159693717</c:v>
                </c:pt>
                <c:pt idx="17">
                  <c:v>10.359326639377336</c:v>
                </c:pt>
                <c:pt idx="18">
                  <c:v>10.358143724093662</c:v>
                </c:pt>
                <c:pt idx="19">
                  <c:v>10.252603087816006</c:v>
                </c:pt>
                <c:pt idx="20">
                  <c:v>10.232378247873784</c:v>
                </c:pt>
                <c:pt idx="21">
                  <c:v>10.109913308880101</c:v>
                </c:pt>
                <c:pt idx="22">
                  <c:v>10.311667331954267</c:v>
                </c:pt>
                <c:pt idx="23">
                  <c:v>10.194720296299689</c:v>
                </c:pt>
                <c:pt idx="24">
                  <c:v>10.260962703558755</c:v>
                </c:pt>
                <c:pt idx="25">
                  <c:v>10.137820301881654</c:v>
                </c:pt>
                <c:pt idx="26">
                  <c:v>10.227422258360027</c:v>
                </c:pt>
                <c:pt idx="27">
                  <c:v>10.168255101684741</c:v>
                </c:pt>
                <c:pt idx="28">
                  <c:v>10.27349608858535</c:v>
                </c:pt>
                <c:pt idx="29">
                  <c:v>10.194957534578972</c:v>
                </c:pt>
                <c:pt idx="30">
                  <c:v>9.9848892222023906</c:v>
                </c:pt>
                <c:pt idx="31">
                  <c:v>10.065912029325887</c:v>
                </c:pt>
                <c:pt idx="32">
                  <c:v>10.148454436302847</c:v>
                </c:pt>
                <c:pt idx="33">
                  <c:v>10.05668364744929</c:v>
                </c:pt>
                <c:pt idx="34">
                  <c:v>10.177380508178501</c:v>
                </c:pt>
                <c:pt idx="35">
                  <c:v>10.177880369910655</c:v>
                </c:pt>
                <c:pt idx="36">
                  <c:v>10.344478718913219</c:v>
                </c:pt>
                <c:pt idx="37">
                  <c:v>10.25909097533107</c:v>
                </c:pt>
                <c:pt idx="38">
                  <c:v>10.280759261115394</c:v>
                </c:pt>
                <c:pt idx="39">
                  <c:v>10.084411893428396</c:v>
                </c:pt>
                <c:pt idx="40">
                  <c:v>10.171069700564068</c:v>
                </c:pt>
                <c:pt idx="41">
                  <c:v>10.03209443730748</c:v>
                </c:pt>
                <c:pt idx="42">
                  <c:v>10.118307338474414</c:v>
                </c:pt>
                <c:pt idx="43">
                  <c:v>9.9308005855557298</c:v>
                </c:pt>
                <c:pt idx="44">
                  <c:v>10.021373273897932</c:v>
                </c:pt>
                <c:pt idx="45">
                  <c:v>9.8720144211011203</c:v>
                </c:pt>
                <c:pt idx="46">
                  <c:v>10.017662785804202</c:v>
                </c:pt>
                <c:pt idx="47">
                  <c:v>9.8710805730859263</c:v>
                </c:pt>
                <c:pt idx="48">
                  <c:v>9.5947193575684615</c:v>
                </c:pt>
                <c:pt idx="49">
                  <c:v>9.8170098044685279</c:v>
                </c:pt>
                <c:pt idx="5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6E-4F4C-B9F5-72520D9DC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5167175925925926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3-4B64-A6D7-73728E3D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Sheet1!$R$5</c:f>
              <c:strCache>
                <c:ptCount val="1"/>
                <c:pt idx="0">
                  <c:v>Compressed (segment=50, sign penalty=2)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Sheet1!$Q$6:$Q$3005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42030</c:v>
                </c:pt>
                <c:pt idx="2">
                  <c:v>42074</c:v>
                </c:pt>
                <c:pt idx="3">
                  <c:v>42121</c:v>
                </c:pt>
                <c:pt idx="4">
                  <c:v>42171</c:v>
                </c:pt>
                <c:pt idx="5">
                  <c:v>42179</c:v>
                </c:pt>
                <c:pt idx="6">
                  <c:v>42254</c:v>
                </c:pt>
                <c:pt idx="7">
                  <c:v>42300</c:v>
                </c:pt>
                <c:pt idx="8">
                  <c:v>42412</c:v>
                </c:pt>
                <c:pt idx="9">
                  <c:v>42481</c:v>
                </c:pt>
                <c:pt idx="10">
                  <c:v>42549</c:v>
                </c:pt>
                <c:pt idx="11">
                  <c:v>42622</c:v>
                </c:pt>
                <c:pt idx="12">
                  <c:v>42727</c:v>
                </c:pt>
                <c:pt idx="13">
                  <c:v>42894</c:v>
                </c:pt>
                <c:pt idx="14">
                  <c:v>42923</c:v>
                </c:pt>
                <c:pt idx="15">
                  <c:v>43126</c:v>
                </c:pt>
                <c:pt idx="16">
                  <c:v>43194</c:v>
                </c:pt>
                <c:pt idx="17">
                  <c:v>43234</c:v>
                </c:pt>
                <c:pt idx="18">
                  <c:v>43300</c:v>
                </c:pt>
                <c:pt idx="19">
                  <c:v>43306</c:v>
                </c:pt>
                <c:pt idx="20">
                  <c:v>43403</c:v>
                </c:pt>
                <c:pt idx="21">
                  <c:v>43438</c:v>
                </c:pt>
                <c:pt idx="22">
                  <c:v>43467</c:v>
                </c:pt>
                <c:pt idx="23">
                  <c:v>43564</c:v>
                </c:pt>
                <c:pt idx="24">
                  <c:v>43690</c:v>
                </c:pt>
                <c:pt idx="25">
                  <c:v>43776</c:v>
                </c:pt>
                <c:pt idx="26">
                  <c:v>43803</c:v>
                </c:pt>
                <c:pt idx="27">
                  <c:v>43847</c:v>
                </c:pt>
                <c:pt idx="28">
                  <c:v>43913</c:v>
                </c:pt>
                <c:pt idx="29">
                  <c:v>43935</c:v>
                </c:pt>
                <c:pt idx="30">
                  <c:v>43973</c:v>
                </c:pt>
                <c:pt idx="31">
                  <c:v>44018</c:v>
                </c:pt>
                <c:pt idx="32">
                  <c:v>44098</c:v>
                </c:pt>
                <c:pt idx="33">
                  <c:v>44162</c:v>
                </c:pt>
                <c:pt idx="34">
                  <c:v>44173</c:v>
                </c:pt>
                <c:pt idx="35">
                  <c:v>44244</c:v>
                </c:pt>
                <c:pt idx="36">
                  <c:v>44280</c:v>
                </c:pt>
                <c:pt idx="37">
                  <c:v>44348</c:v>
                </c:pt>
                <c:pt idx="38">
                  <c:v>44475</c:v>
                </c:pt>
                <c:pt idx="39">
                  <c:v>44489</c:v>
                </c:pt>
                <c:pt idx="40">
                  <c:v>44550</c:v>
                </c:pt>
                <c:pt idx="41">
                  <c:v>44582</c:v>
                </c:pt>
                <c:pt idx="42">
                  <c:v>44635</c:v>
                </c:pt>
                <c:pt idx="43">
                  <c:v>44655</c:v>
                </c:pt>
                <c:pt idx="44">
                  <c:v>44693</c:v>
                </c:pt>
                <c:pt idx="45">
                  <c:v>44740</c:v>
                </c:pt>
                <c:pt idx="46">
                  <c:v>44797</c:v>
                </c:pt>
                <c:pt idx="47">
                  <c:v>44799</c:v>
                </c:pt>
                <c:pt idx="48">
                  <c:v>44865</c:v>
                </c:pt>
                <c:pt idx="49">
                  <c:v>44953</c:v>
                </c:pt>
                <c:pt idx="50">
                  <c:v>44960</c:v>
                </c:pt>
              </c:numCache>
            </c:numRef>
          </c:xVal>
          <c:yVal>
            <c:numRef>
              <c:f>Sheet1!$R$6:$R$3005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10.123020609492711</c:v>
                </c:pt>
                <c:pt idx="2">
                  <c:v>10.073988297301783</c:v>
                </c:pt>
                <c:pt idx="3">
                  <c:v>10.255326466248107</c:v>
                </c:pt>
                <c:pt idx="4">
                  <c:v>10.187413801416849</c:v>
                </c:pt>
                <c:pt idx="5">
                  <c:v>10.218479688441148</c:v>
                </c:pt>
                <c:pt idx="6">
                  <c:v>9.9322460118216842</c:v>
                </c:pt>
                <c:pt idx="7">
                  <c:v>10.049833833672613</c:v>
                </c:pt>
                <c:pt idx="8">
                  <c:v>9.8157257164588696</c:v>
                </c:pt>
                <c:pt idx="9">
                  <c:v>9.9814781560835328</c:v>
                </c:pt>
                <c:pt idx="10">
                  <c:v>9.9120736333222244</c:v>
                </c:pt>
                <c:pt idx="11">
                  <c:v>10.089954638861444</c:v>
                </c:pt>
                <c:pt idx="12">
                  <c:v>9.9792793810576548</c:v>
                </c:pt>
                <c:pt idx="13">
                  <c:v>10.16827428610843</c:v>
                </c:pt>
                <c:pt idx="14">
                  <c:v>10.140172981687179</c:v>
                </c:pt>
                <c:pt idx="15">
                  <c:v>10.408922304448431</c:v>
                </c:pt>
                <c:pt idx="16">
                  <c:v>10.292778882505335</c:v>
                </c:pt>
                <c:pt idx="17">
                  <c:v>10.35904610463583</c:v>
                </c:pt>
                <c:pt idx="18">
                  <c:v>10.240347548790284</c:v>
                </c:pt>
                <c:pt idx="19">
                  <c:v>10.272319809640058</c:v>
                </c:pt>
                <c:pt idx="20">
                  <c:v>10.109913308880101</c:v>
                </c:pt>
                <c:pt idx="21">
                  <c:v>10.213191825920292</c:v>
                </c:pt>
                <c:pt idx="22">
                  <c:v>10.131831542458375</c:v>
                </c:pt>
                <c:pt idx="23">
                  <c:v>10.314188603606278</c:v>
                </c:pt>
                <c:pt idx="24">
                  <c:v>10.137820301881654</c:v>
                </c:pt>
                <c:pt idx="25">
                  <c:v>10.234488795850348</c:v>
                </c:pt>
                <c:pt idx="26">
                  <c:v>10.168255101684741</c:v>
                </c:pt>
                <c:pt idx="27">
                  <c:v>10.276994733457933</c:v>
                </c:pt>
                <c:pt idx="28">
                  <c:v>9.9848892222023906</c:v>
                </c:pt>
                <c:pt idx="29">
                  <c:v>10.103788195532765</c:v>
                </c:pt>
                <c:pt idx="30">
                  <c:v>10.040207508628608</c:v>
                </c:pt>
                <c:pt idx="31">
                  <c:v>10.178812090050902</c:v>
                </c:pt>
                <c:pt idx="32">
                  <c:v>10.05668364744929</c:v>
                </c:pt>
                <c:pt idx="33">
                  <c:v>10.199683764913425</c:v>
                </c:pt>
                <c:pt idx="34">
                  <c:v>10.177497607961874</c:v>
                </c:pt>
                <c:pt idx="35">
                  <c:v>10.344478718913219</c:v>
                </c:pt>
                <c:pt idx="36">
                  <c:v>10.236367966815386</c:v>
                </c:pt>
                <c:pt idx="37">
                  <c:v>10.291060207802705</c:v>
                </c:pt>
                <c:pt idx="38">
                  <c:v>10.084411893428396</c:v>
                </c:pt>
                <c:pt idx="39">
                  <c:v>10.171069700564068</c:v>
                </c:pt>
                <c:pt idx="40">
                  <c:v>10.03209443730748</c:v>
                </c:pt>
                <c:pt idx="41">
                  <c:v>10.125252184818322</c:v>
                </c:pt>
                <c:pt idx="42">
                  <c:v>9.8209251773899382</c:v>
                </c:pt>
                <c:pt idx="43">
                  <c:v>10.021373273897932</c:v>
                </c:pt>
                <c:pt idx="44">
                  <c:v>9.8720144211011203</c:v>
                </c:pt>
                <c:pt idx="45">
                  <c:v>10.017662785804202</c:v>
                </c:pt>
                <c:pt idx="46">
                  <c:v>9.8662393848033236</c:v>
                </c:pt>
                <c:pt idx="47">
                  <c:v>9.9119535676345336</c:v>
                </c:pt>
                <c:pt idx="48">
                  <c:v>9.5947193575684615</c:v>
                </c:pt>
                <c:pt idx="49">
                  <c:v>10.029631114325424</c:v>
                </c:pt>
                <c:pt idx="5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C3-4B64-A6D7-73728E3D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3991250000000002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1-4054-8B7A-ED66D98AE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Sheet1!$L$5</c:f>
              <c:strCache>
                <c:ptCount val="1"/>
                <c:pt idx="0">
                  <c:v>Compressed (segment=25, sign penalty=0)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Sheet1!$K$6:$K$3005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42096</c:v>
                </c:pt>
                <c:pt idx="2">
                  <c:v>42107</c:v>
                </c:pt>
                <c:pt idx="3">
                  <c:v>42369</c:v>
                </c:pt>
                <c:pt idx="4">
                  <c:v>42390</c:v>
                </c:pt>
                <c:pt idx="5">
                  <c:v>42488</c:v>
                </c:pt>
                <c:pt idx="6">
                  <c:v>42514</c:v>
                </c:pt>
                <c:pt idx="7">
                  <c:v>42649</c:v>
                </c:pt>
                <c:pt idx="8">
                  <c:v>42727</c:v>
                </c:pt>
                <c:pt idx="9">
                  <c:v>43068</c:v>
                </c:pt>
                <c:pt idx="10">
                  <c:v>43258</c:v>
                </c:pt>
                <c:pt idx="11">
                  <c:v>43403</c:v>
                </c:pt>
                <c:pt idx="12">
                  <c:v>43588</c:v>
                </c:pt>
                <c:pt idx="13">
                  <c:v>43690</c:v>
                </c:pt>
                <c:pt idx="14">
                  <c:v>43843</c:v>
                </c:pt>
                <c:pt idx="15">
                  <c:v>43915</c:v>
                </c:pt>
                <c:pt idx="16">
                  <c:v>44067</c:v>
                </c:pt>
                <c:pt idx="17">
                  <c:v>44098</c:v>
                </c:pt>
                <c:pt idx="18">
                  <c:v>44244</c:v>
                </c:pt>
                <c:pt idx="19">
                  <c:v>44550</c:v>
                </c:pt>
                <c:pt idx="20">
                  <c:v>44609</c:v>
                </c:pt>
                <c:pt idx="21">
                  <c:v>44631</c:v>
                </c:pt>
                <c:pt idx="22">
                  <c:v>44813</c:v>
                </c:pt>
                <c:pt idx="23">
                  <c:v>44865</c:v>
                </c:pt>
                <c:pt idx="24">
                  <c:v>44880</c:v>
                </c:pt>
                <c:pt idx="25">
                  <c:v>44960</c:v>
                </c:pt>
              </c:numCache>
            </c:numRef>
          </c:xVal>
          <c:yVal>
            <c:numRef>
              <c:f>Sheet1!$L$6:$L$3005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10.137596389759352</c:v>
                </c:pt>
                <c:pt idx="2">
                  <c:v>10.240543184806144</c:v>
                </c:pt>
                <c:pt idx="3">
                  <c:v>9.9948992518123898</c:v>
                </c:pt>
                <c:pt idx="4">
                  <c:v>9.8278018189635041</c:v>
                </c:pt>
                <c:pt idx="5">
                  <c:v>9.9705866658544799</c:v>
                </c:pt>
                <c:pt idx="6">
                  <c:v>9.8949728898620357</c:v>
                </c:pt>
                <c:pt idx="7">
                  <c:v>10.083827981525028</c:v>
                </c:pt>
                <c:pt idx="8">
                  <c:v>9.9792793810576548</c:v>
                </c:pt>
                <c:pt idx="9">
                  <c:v>10.296334386619666</c:v>
                </c:pt>
                <c:pt idx="10">
                  <c:v>10.358143724093662</c:v>
                </c:pt>
                <c:pt idx="11">
                  <c:v>10.109913308880101</c:v>
                </c:pt>
                <c:pt idx="12">
                  <c:v>10.311667331954267</c:v>
                </c:pt>
                <c:pt idx="13">
                  <c:v>10.137820301881654</c:v>
                </c:pt>
                <c:pt idx="14">
                  <c:v>10.27349608858535</c:v>
                </c:pt>
                <c:pt idx="15">
                  <c:v>10.065912029325887</c:v>
                </c:pt>
                <c:pt idx="16">
                  <c:v>10.148454436302847</c:v>
                </c:pt>
                <c:pt idx="17">
                  <c:v>10.05668364744929</c:v>
                </c:pt>
                <c:pt idx="18">
                  <c:v>10.344478718913219</c:v>
                </c:pt>
                <c:pt idx="19">
                  <c:v>10.03209443730748</c:v>
                </c:pt>
                <c:pt idx="20">
                  <c:v>10.118307338474414</c:v>
                </c:pt>
                <c:pt idx="21">
                  <c:v>9.9308005855557298</c:v>
                </c:pt>
                <c:pt idx="22">
                  <c:v>9.8710805730859263</c:v>
                </c:pt>
                <c:pt idx="23">
                  <c:v>9.5947193575684615</c:v>
                </c:pt>
                <c:pt idx="24">
                  <c:v>9.8170098044685279</c:v>
                </c:pt>
                <c:pt idx="25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11-4054-8B7A-ED66D98AE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4579212962962964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0-4757-9C9C-8F8B570B9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Sheet1!$U$5</c:f>
              <c:strCache>
                <c:ptCount val="1"/>
                <c:pt idx="0">
                  <c:v>Compressed (segment=25, sign penalty=2)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Sheet1!$T$6:$T$3005</c:f>
              <c:numCache>
                <c:formatCode>m/d/yyyy</c:formatCode>
                <c:ptCount val="3000"/>
                <c:pt idx="0">
                  <c:v>42004</c:v>
                </c:pt>
                <c:pt idx="1">
                  <c:v>42121</c:v>
                </c:pt>
                <c:pt idx="2">
                  <c:v>42254</c:v>
                </c:pt>
                <c:pt idx="3">
                  <c:v>42300</c:v>
                </c:pt>
                <c:pt idx="4">
                  <c:v>42412</c:v>
                </c:pt>
                <c:pt idx="5">
                  <c:v>42622</c:v>
                </c:pt>
                <c:pt idx="6">
                  <c:v>42727</c:v>
                </c:pt>
                <c:pt idx="7">
                  <c:v>42894</c:v>
                </c:pt>
                <c:pt idx="8">
                  <c:v>42923</c:v>
                </c:pt>
                <c:pt idx="9">
                  <c:v>43126</c:v>
                </c:pt>
                <c:pt idx="10">
                  <c:v>43194</c:v>
                </c:pt>
                <c:pt idx="11">
                  <c:v>43234</c:v>
                </c:pt>
                <c:pt idx="12">
                  <c:v>43403</c:v>
                </c:pt>
                <c:pt idx="13">
                  <c:v>43564</c:v>
                </c:pt>
                <c:pt idx="14">
                  <c:v>43690</c:v>
                </c:pt>
                <c:pt idx="15">
                  <c:v>43847</c:v>
                </c:pt>
                <c:pt idx="16">
                  <c:v>43973</c:v>
                </c:pt>
                <c:pt idx="17">
                  <c:v>44018</c:v>
                </c:pt>
                <c:pt idx="18">
                  <c:v>44098</c:v>
                </c:pt>
                <c:pt idx="19">
                  <c:v>44244</c:v>
                </c:pt>
                <c:pt idx="20">
                  <c:v>44550</c:v>
                </c:pt>
                <c:pt idx="21">
                  <c:v>44582</c:v>
                </c:pt>
                <c:pt idx="22">
                  <c:v>44797</c:v>
                </c:pt>
                <c:pt idx="23">
                  <c:v>44799</c:v>
                </c:pt>
                <c:pt idx="24">
                  <c:v>44865</c:v>
                </c:pt>
                <c:pt idx="25">
                  <c:v>44960</c:v>
                </c:pt>
              </c:numCache>
            </c:numRef>
          </c:xVal>
          <c:yVal>
            <c:numRef>
              <c:f>Sheet1!$U$6:$U$3005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10.255326466248107</c:v>
                </c:pt>
                <c:pt idx="2">
                  <c:v>9.9322460118216842</c:v>
                </c:pt>
                <c:pt idx="3">
                  <c:v>10.049833833672613</c:v>
                </c:pt>
                <c:pt idx="4">
                  <c:v>9.8157257164588696</c:v>
                </c:pt>
                <c:pt idx="5">
                  <c:v>10.089954638861444</c:v>
                </c:pt>
                <c:pt idx="6">
                  <c:v>9.9792793810576548</c:v>
                </c:pt>
                <c:pt idx="7">
                  <c:v>10.16827428610843</c:v>
                </c:pt>
                <c:pt idx="8">
                  <c:v>10.140172981687179</c:v>
                </c:pt>
                <c:pt idx="9">
                  <c:v>10.408922304448431</c:v>
                </c:pt>
                <c:pt idx="10">
                  <c:v>10.292778882505335</c:v>
                </c:pt>
                <c:pt idx="11">
                  <c:v>10.35904610463583</c:v>
                </c:pt>
                <c:pt idx="12">
                  <c:v>10.109913308880101</c:v>
                </c:pt>
                <c:pt idx="13">
                  <c:v>10.314188603606278</c:v>
                </c:pt>
                <c:pt idx="14">
                  <c:v>10.137820301881654</c:v>
                </c:pt>
                <c:pt idx="15">
                  <c:v>10.276994733457933</c:v>
                </c:pt>
                <c:pt idx="16">
                  <c:v>10.040207508628608</c:v>
                </c:pt>
                <c:pt idx="17">
                  <c:v>10.178812090050902</c:v>
                </c:pt>
                <c:pt idx="18">
                  <c:v>10.05668364744929</c:v>
                </c:pt>
                <c:pt idx="19">
                  <c:v>10.344478718913219</c:v>
                </c:pt>
                <c:pt idx="20">
                  <c:v>10.03209443730748</c:v>
                </c:pt>
                <c:pt idx="21">
                  <c:v>10.125252184818322</c:v>
                </c:pt>
                <c:pt idx="22">
                  <c:v>9.8662393848033236</c:v>
                </c:pt>
                <c:pt idx="23">
                  <c:v>9.9119535676345336</c:v>
                </c:pt>
                <c:pt idx="24">
                  <c:v>9.5947193575684615</c:v>
                </c:pt>
                <c:pt idx="25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50-4757-9C9C-8F8B570B9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3991250000000002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4722222222222"/>
          <c:y val="5.2916666666666667E-2"/>
          <c:w val="0.86467499999999997"/>
          <c:h val="0.6866944444444445"/>
        </c:manualLayout>
      </c:layout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5-4565-A797-8920C6D37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Sheet1!$F$5</c:f>
              <c:strCache>
                <c:ptCount val="1"/>
                <c:pt idx="0">
                  <c:v>Compressed (segment=100, sign penalty=0)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Sheet1!$E$6:$E$3005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42065</c:v>
                </c:pt>
                <c:pt idx="2">
                  <c:v>42074</c:v>
                </c:pt>
                <c:pt idx="3">
                  <c:v>42096</c:v>
                </c:pt>
                <c:pt idx="4">
                  <c:v>42107</c:v>
                </c:pt>
                <c:pt idx="5">
                  <c:v>42188</c:v>
                </c:pt>
                <c:pt idx="6">
                  <c:v>42227</c:v>
                </c:pt>
                <c:pt idx="7">
                  <c:v>42254</c:v>
                </c:pt>
                <c:pt idx="8">
                  <c:v>42256</c:v>
                </c:pt>
                <c:pt idx="9">
                  <c:v>42276</c:v>
                </c:pt>
                <c:pt idx="10">
                  <c:v>42284</c:v>
                </c:pt>
                <c:pt idx="11">
                  <c:v>42369</c:v>
                </c:pt>
                <c:pt idx="12">
                  <c:v>42390</c:v>
                </c:pt>
                <c:pt idx="13">
                  <c:v>42488</c:v>
                </c:pt>
                <c:pt idx="14">
                  <c:v>42514</c:v>
                </c:pt>
                <c:pt idx="15">
                  <c:v>42528</c:v>
                </c:pt>
                <c:pt idx="16">
                  <c:v>42537</c:v>
                </c:pt>
                <c:pt idx="17">
                  <c:v>42578</c:v>
                </c:pt>
                <c:pt idx="18">
                  <c:v>42649</c:v>
                </c:pt>
                <c:pt idx="19">
                  <c:v>42688</c:v>
                </c:pt>
                <c:pt idx="20">
                  <c:v>42712</c:v>
                </c:pt>
                <c:pt idx="21">
                  <c:v>42727</c:v>
                </c:pt>
                <c:pt idx="22">
                  <c:v>42788</c:v>
                </c:pt>
                <c:pt idx="23">
                  <c:v>42843</c:v>
                </c:pt>
                <c:pt idx="24">
                  <c:v>42888</c:v>
                </c:pt>
                <c:pt idx="25">
                  <c:v>42923</c:v>
                </c:pt>
                <c:pt idx="26">
                  <c:v>42955</c:v>
                </c:pt>
                <c:pt idx="27">
                  <c:v>42958</c:v>
                </c:pt>
                <c:pt idx="28">
                  <c:v>43068</c:v>
                </c:pt>
                <c:pt idx="29">
                  <c:v>43075</c:v>
                </c:pt>
                <c:pt idx="30">
                  <c:v>43126</c:v>
                </c:pt>
                <c:pt idx="31">
                  <c:v>43143</c:v>
                </c:pt>
                <c:pt idx="32">
                  <c:v>43179</c:v>
                </c:pt>
                <c:pt idx="33">
                  <c:v>43194</c:v>
                </c:pt>
                <c:pt idx="34">
                  <c:v>43258</c:v>
                </c:pt>
                <c:pt idx="35">
                  <c:v>43278</c:v>
                </c:pt>
                <c:pt idx="36">
                  <c:v>43341</c:v>
                </c:pt>
                <c:pt idx="37">
                  <c:v>43355</c:v>
                </c:pt>
                <c:pt idx="38">
                  <c:v>43371</c:v>
                </c:pt>
                <c:pt idx="39">
                  <c:v>43403</c:v>
                </c:pt>
                <c:pt idx="40">
                  <c:v>43438</c:v>
                </c:pt>
                <c:pt idx="41">
                  <c:v>43467</c:v>
                </c:pt>
                <c:pt idx="42">
                  <c:v>43476</c:v>
                </c:pt>
                <c:pt idx="43">
                  <c:v>43588</c:v>
                </c:pt>
                <c:pt idx="44">
                  <c:v>43620</c:v>
                </c:pt>
                <c:pt idx="45">
                  <c:v>43671</c:v>
                </c:pt>
                <c:pt idx="46">
                  <c:v>43690</c:v>
                </c:pt>
                <c:pt idx="47">
                  <c:v>43721</c:v>
                </c:pt>
                <c:pt idx="48">
                  <c:v>43733</c:v>
                </c:pt>
                <c:pt idx="49">
                  <c:v>43777</c:v>
                </c:pt>
                <c:pt idx="50">
                  <c:v>43803</c:v>
                </c:pt>
                <c:pt idx="51">
                  <c:v>43843</c:v>
                </c:pt>
                <c:pt idx="52">
                  <c:v>43860</c:v>
                </c:pt>
                <c:pt idx="53">
                  <c:v>43895</c:v>
                </c:pt>
                <c:pt idx="54">
                  <c:v>43913</c:v>
                </c:pt>
                <c:pt idx="55">
                  <c:v>43915</c:v>
                </c:pt>
                <c:pt idx="56">
                  <c:v>43972</c:v>
                </c:pt>
                <c:pt idx="57">
                  <c:v>43973</c:v>
                </c:pt>
                <c:pt idx="58">
                  <c:v>43992</c:v>
                </c:pt>
                <c:pt idx="59">
                  <c:v>44011</c:v>
                </c:pt>
                <c:pt idx="60">
                  <c:v>44018</c:v>
                </c:pt>
                <c:pt idx="61">
                  <c:v>44046</c:v>
                </c:pt>
                <c:pt idx="62">
                  <c:v>44067</c:v>
                </c:pt>
                <c:pt idx="63">
                  <c:v>44098</c:v>
                </c:pt>
                <c:pt idx="64">
                  <c:v>44145</c:v>
                </c:pt>
                <c:pt idx="65">
                  <c:v>44193</c:v>
                </c:pt>
                <c:pt idx="66">
                  <c:v>44221</c:v>
                </c:pt>
                <c:pt idx="67">
                  <c:v>44225</c:v>
                </c:pt>
                <c:pt idx="68">
                  <c:v>44244</c:v>
                </c:pt>
                <c:pt idx="69">
                  <c:v>44263</c:v>
                </c:pt>
                <c:pt idx="70">
                  <c:v>44342</c:v>
                </c:pt>
                <c:pt idx="71">
                  <c:v>44400</c:v>
                </c:pt>
                <c:pt idx="72">
                  <c:v>44404</c:v>
                </c:pt>
                <c:pt idx="73">
                  <c:v>44419</c:v>
                </c:pt>
                <c:pt idx="74">
                  <c:v>44428</c:v>
                </c:pt>
                <c:pt idx="75">
                  <c:v>44447</c:v>
                </c:pt>
                <c:pt idx="76">
                  <c:v>44475</c:v>
                </c:pt>
                <c:pt idx="77">
                  <c:v>44489</c:v>
                </c:pt>
                <c:pt idx="78">
                  <c:v>44550</c:v>
                </c:pt>
                <c:pt idx="79">
                  <c:v>44609</c:v>
                </c:pt>
                <c:pt idx="80">
                  <c:v>44631</c:v>
                </c:pt>
                <c:pt idx="81">
                  <c:v>44635</c:v>
                </c:pt>
                <c:pt idx="82">
                  <c:v>44637</c:v>
                </c:pt>
                <c:pt idx="83">
                  <c:v>44655</c:v>
                </c:pt>
                <c:pt idx="84">
                  <c:v>44676</c:v>
                </c:pt>
                <c:pt idx="85">
                  <c:v>44680</c:v>
                </c:pt>
                <c:pt idx="86">
                  <c:v>44693</c:v>
                </c:pt>
                <c:pt idx="87">
                  <c:v>44720</c:v>
                </c:pt>
                <c:pt idx="88">
                  <c:v>44728</c:v>
                </c:pt>
                <c:pt idx="89">
                  <c:v>44740</c:v>
                </c:pt>
                <c:pt idx="90">
                  <c:v>44757</c:v>
                </c:pt>
                <c:pt idx="91">
                  <c:v>44813</c:v>
                </c:pt>
                <c:pt idx="92">
                  <c:v>44837</c:v>
                </c:pt>
                <c:pt idx="93">
                  <c:v>44839</c:v>
                </c:pt>
                <c:pt idx="94">
                  <c:v>44865</c:v>
                </c:pt>
                <c:pt idx="95">
                  <c:v>44880</c:v>
                </c:pt>
                <c:pt idx="96">
                  <c:v>44893</c:v>
                </c:pt>
                <c:pt idx="97">
                  <c:v>44900</c:v>
                </c:pt>
                <c:pt idx="98">
                  <c:v>44916</c:v>
                </c:pt>
                <c:pt idx="99">
                  <c:v>44953</c:v>
                </c:pt>
                <c:pt idx="100">
                  <c:v>44960</c:v>
                </c:pt>
              </c:numCache>
            </c:numRef>
          </c:xVal>
          <c:yVal>
            <c:numRef>
              <c:f>Sheet1!$F$6:$F$3005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10.122118515541768</c:v>
                </c:pt>
                <c:pt idx="2">
                  <c:v>10.073988297301783</c:v>
                </c:pt>
                <c:pt idx="3">
                  <c:v>10.137596389759352</c:v>
                </c:pt>
                <c:pt idx="4">
                  <c:v>10.240543184806144</c:v>
                </c:pt>
                <c:pt idx="5">
                  <c:v>10.168314527234187</c:v>
                </c:pt>
                <c:pt idx="6">
                  <c:v>10.106355370927739</c:v>
                </c:pt>
                <c:pt idx="7">
                  <c:v>9.9322460118216842</c:v>
                </c:pt>
                <c:pt idx="8">
                  <c:v>10.004748651671212</c:v>
                </c:pt>
                <c:pt idx="9">
                  <c:v>9.930937317223572</c:v>
                </c:pt>
                <c:pt idx="10">
                  <c:v>10.021970777047517</c:v>
                </c:pt>
                <c:pt idx="11">
                  <c:v>9.9948992518123898</c:v>
                </c:pt>
                <c:pt idx="12">
                  <c:v>9.8278018189635041</c:v>
                </c:pt>
                <c:pt idx="13">
                  <c:v>9.9705866658544799</c:v>
                </c:pt>
                <c:pt idx="14">
                  <c:v>9.8949728898620357</c:v>
                </c:pt>
                <c:pt idx="15">
                  <c:v>9.9677873061397495</c:v>
                </c:pt>
                <c:pt idx="16">
                  <c:v>9.9054067058826902</c:v>
                </c:pt>
                <c:pt idx="17">
                  <c:v>10.008702618146609</c:v>
                </c:pt>
                <c:pt idx="18">
                  <c:v>10.083827981525028</c:v>
                </c:pt>
                <c:pt idx="19">
                  <c:v>10.008847999828951</c:v>
                </c:pt>
                <c:pt idx="20">
                  <c:v>10.03722441722482</c:v>
                </c:pt>
                <c:pt idx="21">
                  <c:v>9.9792793810576548</c:v>
                </c:pt>
                <c:pt idx="22">
                  <c:v>10.094188939357853</c:v>
                </c:pt>
                <c:pt idx="23">
                  <c:v>10.082659950221249</c:v>
                </c:pt>
                <c:pt idx="24">
                  <c:v>10.162926418386917</c:v>
                </c:pt>
                <c:pt idx="25">
                  <c:v>10.140172981687179</c:v>
                </c:pt>
                <c:pt idx="26">
                  <c:v>10.234764537032374</c:v>
                </c:pt>
                <c:pt idx="27">
                  <c:v>10.199268357765135</c:v>
                </c:pt>
                <c:pt idx="28">
                  <c:v>10.296334386619666</c:v>
                </c:pt>
                <c:pt idx="29">
                  <c:v>10.247956330746717</c:v>
                </c:pt>
                <c:pt idx="30">
                  <c:v>10.408922304448431</c:v>
                </c:pt>
                <c:pt idx="31">
                  <c:v>10.290776159693717</c:v>
                </c:pt>
                <c:pt idx="32">
                  <c:v>10.359326639377336</c:v>
                </c:pt>
                <c:pt idx="33">
                  <c:v>10.292778882505335</c:v>
                </c:pt>
                <c:pt idx="34">
                  <c:v>10.358143724093662</c:v>
                </c:pt>
                <c:pt idx="35">
                  <c:v>10.252603087816006</c:v>
                </c:pt>
                <c:pt idx="36">
                  <c:v>10.254723110656832</c:v>
                </c:pt>
                <c:pt idx="37">
                  <c:v>10.179035265390436</c:v>
                </c:pt>
                <c:pt idx="38">
                  <c:v>10.232378247873784</c:v>
                </c:pt>
                <c:pt idx="39">
                  <c:v>10.109913308880101</c:v>
                </c:pt>
                <c:pt idx="40">
                  <c:v>10.213191825920292</c:v>
                </c:pt>
                <c:pt idx="41">
                  <c:v>10.131831542458375</c:v>
                </c:pt>
                <c:pt idx="42">
                  <c:v>10.191192232144866</c:v>
                </c:pt>
                <c:pt idx="43">
                  <c:v>10.311667331954267</c:v>
                </c:pt>
                <c:pt idx="44">
                  <c:v>10.194720296299689</c:v>
                </c:pt>
                <c:pt idx="45">
                  <c:v>10.260962703558755</c:v>
                </c:pt>
                <c:pt idx="46">
                  <c:v>10.137820301881654</c:v>
                </c:pt>
                <c:pt idx="47">
                  <c:v>10.216570137677383</c:v>
                </c:pt>
                <c:pt idx="48">
                  <c:v>10.163747666715871</c:v>
                </c:pt>
                <c:pt idx="49">
                  <c:v>10.227422258360027</c:v>
                </c:pt>
                <c:pt idx="50">
                  <c:v>10.168255101684741</c:v>
                </c:pt>
                <c:pt idx="51">
                  <c:v>10.27349608858535</c:v>
                </c:pt>
                <c:pt idx="52">
                  <c:v>10.182978576973394</c:v>
                </c:pt>
                <c:pt idx="53">
                  <c:v>10.194957534578972</c:v>
                </c:pt>
                <c:pt idx="54">
                  <c:v>9.9848892222023906</c:v>
                </c:pt>
                <c:pt idx="55">
                  <c:v>10.065912029325887</c:v>
                </c:pt>
                <c:pt idx="56">
                  <c:v>10.097409451803678</c:v>
                </c:pt>
                <c:pt idx="57">
                  <c:v>10.040207508628608</c:v>
                </c:pt>
                <c:pt idx="58">
                  <c:v>10.128618346734566</c:v>
                </c:pt>
                <c:pt idx="59">
                  <c:v>10.098284273909968</c:v>
                </c:pt>
                <c:pt idx="60">
                  <c:v>10.178812090050902</c:v>
                </c:pt>
                <c:pt idx="61">
                  <c:v>10.104717990090714</c:v>
                </c:pt>
                <c:pt idx="62">
                  <c:v>10.148454436302847</c:v>
                </c:pt>
                <c:pt idx="63">
                  <c:v>10.05668364744929</c:v>
                </c:pt>
                <c:pt idx="64">
                  <c:v>10.177380508178501</c:v>
                </c:pt>
                <c:pt idx="65">
                  <c:v>10.177880369910655</c:v>
                </c:pt>
                <c:pt idx="66">
                  <c:v>10.31423898889058</c:v>
                </c:pt>
                <c:pt idx="67">
                  <c:v>10.250041332688879</c:v>
                </c:pt>
                <c:pt idx="68">
                  <c:v>10.344478718913219</c:v>
                </c:pt>
                <c:pt idx="69">
                  <c:v>10.25909097533107</c:v>
                </c:pt>
                <c:pt idx="70">
                  <c:v>10.280759261115394</c:v>
                </c:pt>
                <c:pt idx="71">
                  <c:v>10.215446802601997</c:v>
                </c:pt>
                <c:pt idx="72">
                  <c:v>10.130082329035551</c:v>
                </c:pt>
                <c:pt idx="73">
                  <c:v>10.190925601066494</c:v>
                </c:pt>
                <c:pt idx="74">
                  <c:v>10.120601792145719</c:v>
                </c:pt>
                <c:pt idx="75">
                  <c:v>10.178119707307831</c:v>
                </c:pt>
                <c:pt idx="76">
                  <c:v>10.084411893428396</c:v>
                </c:pt>
                <c:pt idx="77">
                  <c:v>10.171069700564068</c:v>
                </c:pt>
                <c:pt idx="78">
                  <c:v>10.03209443730748</c:v>
                </c:pt>
                <c:pt idx="79">
                  <c:v>10.118307338474414</c:v>
                </c:pt>
                <c:pt idx="80">
                  <c:v>9.9308005855557298</c:v>
                </c:pt>
                <c:pt idx="81">
                  <c:v>9.8209251773899382</c:v>
                </c:pt>
                <c:pt idx="82">
                  <c:v>9.9758654435943956</c:v>
                </c:pt>
                <c:pt idx="83">
                  <c:v>10.021373273897932</c:v>
                </c:pt>
                <c:pt idx="84">
                  <c:v>9.8969331112395373</c:v>
                </c:pt>
                <c:pt idx="85">
                  <c:v>9.9565253790297756</c:v>
                </c:pt>
                <c:pt idx="86">
                  <c:v>9.8720144211011203</c:v>
                </c:pt>
                <c:pt idx="87">
                  <c:v>9.9994606872645395</c:v>
                </c:pt>
                <c:pt idx="88">
                  <c:v>9.9448900035828931</c:v>
                </c:pt>
                <c:pt idx="89">
                  <c:v>10.017662785804202</c:v>
                </c:pt>
                <c:pt idx="90">
                  <c:v>9.9182638780855417</c:v>
                </c:pt>
                <c:pt idx="91">
                  <c:v>9.8710805730859263</c:v>
                </c:pt>
                <c:pt idx="92">
                  <c:v>9.7456347647058195</c:v>
                </c:pt>
                <c:pt idx="93">
                  <c:v>9.8030023942638795</c:v>
                </c:pt>
                <c:pt idx="94">
                  <c:v>9.5947193575684615</c:v>
                </c:pt>
                <c:pt idx="95">
                  <c:v>9.8170098044685279</c:v>
                </c:pt>
                <c:pt idx="96">
                  <c:v>9.7583426666290904</c:v>
                </c:pt>
                <c:pt idx="97">
                  <c:v>9.8791072056644911</c:v>
                </c:pt>
                <c:pt idx="98">
                  <c:v>9.8606056375232054</c:v>
                </c:pt>
                <c:pt idx="99">
                  <c:v>10.029631114325424</c:v>
                </c:pt>
                <c:pt idx="10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F5-4565-A797-8920C6D37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407272727272728"/>
          <c:y val="0.53403287037037039"/>
          <c:w val="0.63932954545454546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E-46DF-B23B-E627D52F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Sheet1!$O$5</c:f>
              <c:strCache>
                <c:ptCount val="1"/>
                <c:pt idx="0">
                  <c:v>Compressed (segment=50, sign penalty=2)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Sheet1!$N$6:$N$3005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42030</c:v>
                </c:pt>
                <c:pt idx="2">
                  <c:v>42074</c:v>
                </c:pt>
                <c:pt idx="3">
                  <c:v>42121</c:v>
                </c:pt>
                <c:pt idx="4">
                  <c:v>42171</c:v>
                </c:pt>
                <c:pt idx="5">
                  <c:v>42179</c:v>
                </c:pt>
                <c:pt idx="6">
                  <c:v>42193</c:v>
                </c:pt>
                <c:pt idx="7">
                  <c:v>42206</c:v>
                </c:pt>
                <c:pt idx="8">
                  <c:v>42254</c:v>
                </c:pt>
                <c:pt idx="9">
                  <c:v>42256</c:v>
                </c:pt>
                <c:pt idx="10">
                  <c:v>42276</c:v>
                </c:pt>
                <c:pt idx="11">
                  <c:v>42300</c:v>
                </c:pt>
                <c:pt idx="12">
                  <c:v>42324</c:v>
                </c:pt>
                <c:pt idx="13">
                  <c:v>42328</c:v>
                </c:pt>
                <c:pt idx="14">
                  <c:v>42390</c:v>
                </c:pt>
                <c:pt idx="15">
                  <c:v>42398</c:v>
                </c:pt>
                <c:pt idx="16">
                  <c:v>42412</c:v>
                </c:pt>
                <c:pt idx="17">
                  <c:v>42481</c:v>
                </c:pt>
                <c:pt idx="18">
                  <c:v>42549</c:v>
                </c:pt>
                <c:pt idx="19">
                  <c:v>42578</c:v>
                </c:pt>
                <c:pt idx="20">
                  <c:v>42585</c:v>
                </c:pt>
                <c:pt idx="21">
                  <c:v>42622</c:v>
                </c:pt>
                <c:pt idx="22">
                  <c:v>42656</c:v>
                </c:pt>
                <c:pt idx="23">
                  <c:v>42667</c:v>
                </c:pt>
                <c:pt idx="24">
                  <c:v>42727</c:v>
                </c:pt>
                <c:pt idx="25">
                  <c:v>42815</c:v>
                </c:pt>
                <c:pt idx="26">
                  <c:v>42844</c:v>
                </c:pt>
                <c:pt idx="27">
                  <c:v>42894</c:v>
                </c:pt>
                <c:pt idx="28">
                  <c:v>42923</c:v>
                </c:pt>
                <c:pt idx="29">
                  <c:v>42955</c:v>
                </c:pt>
                <c:pt idx="30">
                  <c:v>42958</c:v>
                </c:pt>
                <c:pt idx="31">
                  <c:v>43061</c:v>
                </c:pt>
                <c:pt idx="32">
                  <c:v>43075</c:v>
                </c:pt>
                <c:pt idx="33">
                  <c:v>43126</c:v>
                </c:pt>
                <c:pt idx="34">
                  <c:v>43143</c:v>
                </c:pt>
                <c:pt idx="35">
                  <c:v>43171</c:v>
                </c:pt>
                <c:pt idx="36">
                  <c:v>43194</c:v>
                </c:pt>
                <c:pt idx="37">
                  <c:v>43201</c:v>
                </c:pt>
                <c:pt idx="38">
                  <c:v>43224</c:v>
                </c:pt>
                <c:pt idx="39">
                  <c:v>43234</c:v>
                </c:pt>
                <c:pt idx="40">
                  <c:v>43300</c:v>
                </c:pt>
                <c:pt idx="41">
                  <c:v>43306</c:v>
                </c:pt>
                <c:pt idx="42">
                  <c:v>43355</c:v>
                </c:pt>
                <c:pt idx="43">
                  <c:v>43364</c:v>
                </c:pt>
                <c:pt idx="44">
                  <c:v>43403</c:v>
                </c:pt>
                <c:pt idx="45">
                  <c:v>43438</c:v>
                </c:pt>
                <c:pt idx="46">
                  <c:v>43467</c:v>
                </c:pt>
                <c:pt idx="47">
                  <c:v>43530</c:v>
                </c:pt>
                <c:pt idx="48">
                  <c:v>43532</c:v>
                </c:pt>
                <c:pt idx="49">
                  <c:v>43564</c:v>
                </c:pt>
                <c:pt idx="50">
                  <c:v>43620</c:v>
                </c:pt>
                <c:pt idx="51">
                  <c:v>43648</c:v>
                </c:pt>
                <c:pt idx="52">
                  <c:v>43690</c:v>
                </c:pt>
                <c:pt idx="53">
                  <c:v>43721</c:v>
                </c:pt>
                <c:pt idx="54">
                  <c:v>43748</c:v>
                </c:pt>
                <c:pt idx="55">
                  <c:v>43776</c:v>
                </c:pt>
                <c:pt idx="56">
                  <c:v>43803</c:v>
                </c:pt>
                <c:pt idx="57">
                  <c:v>43847</c:v>
                </c:pt>
                <c:pt idx="58">
                  <c:v>43864</c:v>
                </c:pt>
                <c:pt idx="59">
                  <c:v>43878</c:v>
                </c:pt>
                <c:pt idx="60">
                  <c:v>43913</c:v>
                </c:pt>
                <c:pt idx="61">
                  <c:v>43935</c:v>
                </c:pt>
                <c:pt idx="62">
                  <c:v>43955</c:v>
                </c:pt>
                <c:pt idx="63">
                  <c:v>43970</c:v>
                </c:pt>
                <c:pt idx="64">
                  <c:v>43973</c:v>
                </c:pt>
                <c:pt idx="65">
                  <c:v>44018</c:v>
                </c:pt>
                <c:pt idx="66">
                  <c:v>44053</c:v>
                </c:pt>
                <c:pt idx="67">
                  <c:v>44067</c:v>
                </c:pt>
                <c:pt idx="68">
                  <c:v>44098</c:v>
                </c:pt>
                <c:pt idx="69">
                  <c:v>44127</c:v>
                </c:pt>
                <c:pt idx="70">
                  <c:v>44134</c:v>
                </c:pt>
                <c:pt idx="71">
                  <c:v>44162</c:v>
                </c:pt>
                <c:pt idx="72">
                  <c:v>44173</c:v>
                </c:pt>
                <c:pt idx="73">
                  <c:v>44244</c:v>
                </c:pt>
                <c:pt idx="74">
                  <c:v>44280</c:v>
                </c:pt>
                <c:pt idx="75">
                  <c:v>44348</c:v>
                </c:pt>
                <c:pt idx="76">
                  <c:v>44385</c:v>
                </c:pt>
                <c:pt idx="77">
                  <c:v>44393</c:v>
                </c:pt>
                <c:pt idx="78">
                  <c:v>44404</c:v>
                </c:pt>
                <c:pt idx="79">
                  <c:v>44419</c:v>
                </c:pt>
                <c:pt idx="80">
                  <c:v>44475</c:v>
                </c:pt>
                <c:pt idx="81">
                  <c:v>44489</c:v>
                </c:pt>
                <c:pt idx="82">
                  <c:v>44550</c:v>
                </c:pt>
                <c:pt idx="83">
                  <c:v>44582</c:v>
                </c:pt>
                <c:pt idx="84">
                  <c:v>44635</c:v>
                </c:pt>
                <c:pt idx="85">
                  <c:v>44655</c:v>
                </c:pt>
                <c:pt idx="86">
                  <c:v>44693</c:v>
                </c:pt>
                <c:pt idx="87">
                  <c:v>44740</c:v>
                </c:pt>
                <c:pt idx="88">
                  <c:v>44757</c:v>
                </c:pt>
                <c:pt idx="89">
                  <c:v>44768</c:v>
                </c:pt>
                <c:pt idx="90">
                  <c:v>44797</c:v>
                </c:pt>
                <c:pt idx="91">
                  <c:v>44799</c:v>
                </c:pt>
                <c:pt idx="92">
                  <c:v>44837</c:v>
                </c:pt>
                <c:pt idx="93">
                  <c:v>44839</c:v>
                </c:pt>
                <c:pt idx="94">
                  <c:v>44865</c:v>
                </c:pt>
                <c:pt idx="95">
                  <c:v>44880</c:v>
                </c:pt>
                <c:pt idx="96">
                  <c:v>44893</c:v>
                </c:pt>
                <c:pt idx="97">
                  <c:v>44904</c:v>
                </c:pt>
                <c:pt idx="98">
                  <c:v>44915</c:v>
                </c:pt>
                <c:pt idx="99">
                  <c:v>44953</c:v>
                </c:pt>
                <c:pt idx="100">
                  <c:v>44960</c:v>
                </c:pt>
              </c:numCache>
            </c:numRef>
          </c:xVal>
          <c:yVal>
            <c:numRef>
              <c:f>Sheet1!$O$6:$O$3005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10.123020609492711</c:v>
                </c:pt>
                <c:pt idx="2">
                  <c:v>10.073988297301783</c:v>
                </c:pt>
                <c:pt idx="3">
                  <c:v>10.255326466248107</c:v>
                </c:pt>
                <c:pt idx="4">
                  <c:v>10.187413801416849</c:v>
                </c:pt>
                <c:pt idx="5">
                  <c:v>10.218479688441148</c:v>
                </c:pt>
                <c:pt idx="6">
                  <c:v>10.065460156072549</c:v>
                </c:pt>
                <c:pt idx="7">
                  <c:v>10.147861326862353</c:v>
                </c:pt>
                <c:pt idx="8">
                  <c:v>9.9322460118216842</c:v>
                </c:pt>
                <c:pt idx="9">
                  <c:v>10.004748651671212</c:v>
                </c:pt>
                <c:pt idx="10">
                  <c:v>9.930937317223572</c:v>
                </c:pt>
                <c:pt idx="11">
                  <c:v>10.049833833672613</c:v>
                </c:pt>
                <c:pt idx="12">
                  <c:v>9.9992894438396274</c:v>
                </c:pt>
                <c:pt idx="13">
                  <c:v>10.032527906281809</c:v>
                </c:pt>
                <c:pt idx="14">
                  <c:v>9.8278018189635041</c:v>
                </c:pt>
                <c:pt idx="15">
                  <c:v>9.8875161548232349</c:v>
                </c:pt>
                <c:pt idx="16">
                  <c:v>9.8157257164588696</c:v>
                </c:pt>
                <c:pt idx="17">
                  <c:v>9.9814781560835328</c:v>
                </c:pt>
                <c:pt idx="18">
                  <c:v>9.9120736333222244</c:v>
                </c:pt>
                <c:pt idx="19">
                  <c:v>10.008702618146609</c:v>
                </c:pt>
                <c:pt idx="20">
                  <c:v>9.9868686419610437</c:v>
                </c:pt>
                <c:pt idx="21">
                  <c:v>10.089954638861444</c:v>
                </c:pt>
                <c:pt idx="22">
                  <c:v>10.044609473243129</c:v>
                </c:pt>
                <c:pt idx="23">
                  <c:v>10.069174860731888</c:v>
                </c:pt>
                <c:pt idx="24">
                  <c:v>9.9792793810576548</c:v>
                </c:pt>
                <c:pt idx="25">
                  <c:v>10.110221973078948</c:v>
                </c:pt>
                <c:pt idx="26">
                  <c:v>10.078527699885123</c:v>
                </c:pt>
                <c:pt idx="27">
                  <c:v>10.16827428610843</c:v>
                </c:pt>
                <c:pt idx="28">
                  <c:v>10.140172981687179</c:v>
                </c:pt>
                <c:pt idx="29">
                  <c:v>10.234764537032374</c:v>
                </c:pt>
                <c:pt idx="30">
                  <c:v>10.199268357765135</c:v>
                </c:pt>
                <c:pt idx="31">
                  <c:v>10.309068995010522</c:v>
                </c:pt>
                <c:pt idx="32">
                  <c:v>10.247956330746717</c:v>
                </c:pt>
                <c:pt idx="33">
                  <c:v>10.408922304448431</c:v>
                </c:pt>
                <c:pt idx="34">
                  <c:v>10.290776159693717</c:v>
                </c:pt>
                <c:pt idx="35">
                  <c:v>10.360732955564497</c:v>
                </c:pt>
                <c:pt idx="36">
                  <c:v>10.292778882505335</c:v>
                </c:pt>
                <c:pt idx="37">
                  <c:v>10.338437380465427</c:v>
                </c:pt>
                <c:pt idx="38">
                  <c:v>10.306499654483225</c:v>
                </c:pt>
                <c:pt idx="39">
                  <c:v>10.35904610463583</c:v>
                </c:pt>
                <c:pt idx="40">
                  <c:v>10.240347548790284</c:v>
                </c:pt>
                <c:pt idx="41">
                  <c:v>10.272319809640058</c:v>
                </c:pt>
                <c:pt idx="42">
                  <c:v>10.179035265390436</c:v>
                </c:pt>
                <c:pt idx="43">
                  <c:v>10.238300559038912</c:v>
                </c:pt>
                <c:pt idx="44">
                  <c:v>10.109913308880101</c:v>
                </c:pt>
                <c:pt idx="45">
                  <c:v>10.213191825920292</c:v>
                </c:pt>
                <c:pt idx="46">
                  <c:v>10.131831542458375</c:v>
                </c:pt>
                <c:pt idx="47">
                  <c:v>10.276346807430077</c:v>
                </c:pt>
                <c:pt idx="48">
                  <c:v>10.24808454809056</c:v>
                </c:pt>
                <c:pt idx="49">
                  <c:v>10.314188603606278</c:v>
                </c:pt>
                <c:pt idx="50">
                  <c:v>10.194720296299689</c:v>
                </c:pt>
                <c:pt idx="51">
                  <c:v>10.270750860518785</c:v>
                </c:pt>
                <c:pt idx="52">
                  <c:v>10.137820301881654</c:v>
                </c:pt>
                <c:pt idx="53">
                  <c:v>10.216570137677383</c:v>
                </c:pt>
                <c:pt idx="54">
                  <c:v>10.154554771463319</c:v>
                </c:pt>
                <c:pt idx="55">
                  <c:v>10.234488795850348</c:v>
                </c:pt>
                <c:pt idx="56">
                  <c:v>10.168255101684741</c:v>
                </c:pt>
                <c:pt idx="57">
                  <c:v>10.276994733457933</c:v>
                </c:pt>
                <c:pt idx="58">
                  <c:v>10.179488432320676</c:v>
                </c:pt>
                <c:pt idx="59">
                  <c:v>10.238515876109304</c:v>
                </c:pt>
                <c:pt idx="60">
                  <c:v>9.9848892222023906</c:v>
                </c:pt>
                <c:pt idx="61">
                  <c:v>10.103788195532765</c:v>
                </c:pt>
                <c:pt idx="62">
                  <c:v>10.069586598953107</c:v>
                </c:pt>
                <c:pt idx="63">
                  <c:v>10.101851852725957</c:v>
                </c:pt>
                <c:pt idx="64">
                  <c:v>10.040207508628608</c:v>
                </c:pt>
                <c:pt idx="65">
                  <c:v>10.178812090050902</c:v>
                </c:pt>
                <c:pt idx="66">
                  <c:v>10.101412970406068</c:v>
                </c:pt>
                <c:pt idx="67">
                  <c:v>10.148454436302847</c:v>
                </c:pt>
                <c:pt idx="68">
                  <c:v>10.05668364744929</c:v>
                </c:pt>
                <c:pt idx="69">
                  <c:v>10.123376986830003</c:v>
                </c:pt>
                <c:pt idx="70">
                  <c:v>10.090274952674159</c:v>
                </c:pt>
                <c:pt idx="71">
                  <c:v>10.199683764913425</c:v>
                </c:pt>
                <c:pt idx="72">
                  <c:v>10.177497607961874</c:v>
                </c:pt>
                <c:pt idx="73">
                  <c:v>10.344478718913219</c:v>
                </c:pt>
                <c:pt idx="74">
                  <c:v>10.236367966815386</c:v>
                </c:pt>
                <c:pt idx="75">
                  <c:v>10.291060207802705</c:v>
                </c:pt>
                <c:pt idx="76">
                  <c:v>10.209247635803816</c:v>
                </c:pt>
                <c:pt idx="77">
                  <c:v>10.240126906906678</c:v>
                </c:pt>
                <c:pt idx="78">
                  <c:v>10.130082329035551</c:v>
                </c:pt>
                <c:pt idx="79">
                  <c:v>10.190925601066494</c:v>
                </c:pt>
                <c:pt idx="80">
                  <c:v>10.084411893428396</c:v>
                </c:pt>
                <c:pt idx="81">
                  <c:v>10.171069700564068</c:v>
                </c:pt>
                <c:pt idx="82">
                  <c:v>10.03209443730748</c:v>
                </c:pt>
                <c:pt idx="83">
                  <c:v>10.125252184818322</c:v>
                </c:pt>
                <c:pt idx="84">
                  <c:v>9.8209251773899382</c:v>
                </c:pt>
                <c:pt idx="85">
                  <c:v>10.021373273897932</c:v>
                </c:pt>
                <c:pt idx="86">
                  <c:v>9.8720144211011203</c:v>
                </c:pt>
                <c:pt idx="87">
                  <c:v>10.017662785804202</c:v>
                </c:pt>
                <c:pt idx="88">
                  <c:v>9.9182638780855417</c:v>
                </c:pt>
                <c:pt idx="89">
                  <c:v>9.9477857791861428</c:v>
                </c:pt>
                <c:pt idx="90">
                  <c:v>9.8662393848033236</c:v>
                </c:pt>
                <c:pt idx="91">
                  <c:v>9.9119535676345336</c:v>
                </c:pt>
                <c:pt idx="92">
                  <c:v>9.7456347647058195</c:v>
                </c:pt>
                <c:pt idx="93">
                  <c:v>9.8030023942638795</c:v>
                </c:pt>
                <c:pt idx="94">
                  <c:v>9.5947193575684615</c:v>
                </c:pt>
                <c:pt idx="95">
                  <c:v>9.8170098044685279</c:v>
                </c:pt>
                <c:pt idx="96">
                  <c:v>9.7583426666290904</c:v>
                </c:pt>
                <c:pt idx="97">
                  <c:v>9.8985186851859766</c:v>
                </c:pt>
                <c:pt idx="98">
                  <c:v>9.8571713665598928</c:v>
                </c:pt>
                <c:pt idx="99">
                  <c:v>10.029631114325424</c:v>
                </c:pt>
                <c:pt idx="10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CE-46DF-B23B-E627D52F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048686868686869"/>
          <c:y val="0.55167175925925926"/>
          <c:w val="0.6265012626262626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6237373737375"/>
          <c:y val="5.2916666666666667E-2"/>
          <c:w val="0.86467499999999997"/>
          <c:h val="0.6866944444444445"/>
        </c:manualLayout>
      </c:layout>
      <c:lineChart>
        <c:grouping val="standard"/>
        <c:varyColors val="0"/>
        <c:ser>
          <c:idx val="0"/>
          <c:order val="0"/>
          <c:tx>
            <c:strRef>
              <c:f>Sheet1!$B$5</c:f>
              <c:strCache>
                <c:ptCount val="1"/>
                <c:pt idx="0">
                  <c:v>Hang Seng Index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Sheet1!$B$6:$B$3005</c:f>
              <c:numCache>
                <c:formatCode>General</c:formatCode>
                <c:ptCount val="3000"/>
                <c:pt idx="0">
                  <c:v>23605.039063</c:v>
                </c:pt>
                <c:pt idx="1">
                  <c:v>23721.300781000002</c:v>
                </c:pt>
                <c:pt idx="2">
                  <c:v>23721.320313</c:v>
                </c:pt>
                <c:pt idx="3">
                  <c:v>23485.410156000002</c:v>
                </c:pt>
                <c:pt idx="4">
                  <c:v>23681.259765999999</c:v>
                </c:pt>
                <c:pt idx="5">
                  <c:v>23835.529297000001</c:v>
                </c:pt>
                <c:pt idx="6">
                  <c:v>23919.949218999998</c:v>
                </c:pt>
                <c:pt idx="7">
                  <c:v>24026.460938</c:v>
                </c:pt>
                <c:pt idx="8">
                  <c:v>24215.970702999999</c:v>
                </c:pt>
                <c:pt idx="9">
                  <c:v>24112.599609000001</c:v>
                </c:pt>
                <c:pt idx="10">
                  <c:v>24350.910156000002</c:v>
                </c:pt>
                <c:pt idx="11">
                  <c:v>24103.519531000002</c:v>
                </c:pt>
                <c:pt idx="12">
                  <c:v>23738.490234000001</c:v>
                </c:pt>
                <c:pt idx="13">
                  <c:v>23951.160156000002</c:v>
                </c:pt>
                <c:pt idx="14">
                  <c:v>24352.580077999999</c:v>
                </c:pt>
                <c:pt idx="15">
                  <c:v>24522.630859000001</c:v>
                </c:pt>
                <c:pt idx="16">
                  <c:v>24850.449218999998</c:v>
                </c:pt>
                <c:pt idx="17">
                  <c:v>24909.900390999999</c:v>
                </c:pt>
                <c:pt idx="18">
                  <c:v>24807.279297000001</c:v>
                </c:pt>
                <c:pt idx="19">
                  <c:v>24861.810547000001</c:v>
                </c:pt>
                <c:pt idx="20">
                  <c:v>24595.849609000001</c:v>
                </c:pt>
                <c:pt idx="21">
                  <c:v>24507.050781000002</c:v>
                </c:pt>
                <c:pt idx="22">
                  <c:v>24484.740234000001</c:v>
                </c:pt>
                <c:pt idx="23">
                  <c:v>24554.779297000001</c:v>
                </c:pt>
                <c:pt idx="24">
                  <c:v>24679.759765999999</c:v>
                </c:pt>
                <c:pt idx="25">
                  <c:v>24765.490234000001</c:v>
                </c:pt>
                <c:pt idx="26">
                  <c:v>24679.390625</c:v>
                </c:pt>
                <c:pt idx="27">
                  <c:v>24521</c:v>
                </c:pt>
                <c:pt idx="28">
                  <c:v>24528.099609000001</c:v>
                </c:pt>
                <c:pt idx="29">
                  <c:v>24315.019531000002</c:v>
                </c:pt>
                <c:pt idx="30">
                  <c:v>24422.150390999999</c:v>
                </c:pt>
                <c:pt idx="31">
                  <c:v>24682.539063</c:v>
                </c:pt>
                <c:pt idx="32">
                  <c:v>24726.529297000001</c:v>
                </c:pt>
                <c:pt idx="33">
                  <c:v>24784.880859000001</c:v>
                </c:pt>
                <c:pt idx="34">
                  <c:v>24832.080077999999</c:v>
                </c:pt>
                <c:pt idx="35">
                  <c:v>24836.759765999999</c:v>
                </c:pt>
                <c:pt idx="36">
                  <c:v>24750.070313</c:v>
                </c:pt>
                <c:pt idx="37">
                  <c:v>24778.279297000001</c:v>
                </c:pt>
                <c:pt idx="38">
                  <c:v>24902.060547000001</c:v>
                </c:pt>
                <c:pt idx="39">
                  <c:v>24823.289063</c:v>
                </c:pt>
                <c:pt idx="40">
                  <c:v>24887.439452999999</c:v>
                </c:pt>
                <c:pt idx="41">
                  <c:v>24702.779297000001</c:v>
                </c:pt>
                <c:pt idx="42">
                  <c:v>24465.380859000001</c:v>
                </c:pt>
                <c:pt idx="43">
                  <c:v>24193.039063</c:v>
                </c:pt>
                <c:pt idx="44">
                  <c:v>24164</c:v>
                </c:pt>
                <c:pt idx="45">
                  <c:v>24123.050781000002</c:v>
                </c:pt>
                <c:pt idx="46">
                  <c:v>23896.980468999998</c:v>
                </c:pt>
                <c:pt idx="47">
                  <c:v>23717.970702999999</c:v>
                </c:pt>
                <c:pt idx="48">
                  <c:v>23797.960938</c:v>
                </c:pt>
                <c:pt idx="49">
                  <c:v>23823.210938</c:v>
                </c:pt>
                <c:pt idx="50">
                  <c:v>23949.550781000002</c:v>
                </c:pt>
                <c:pt idx="51">
                  <c:v>23901.490234000001</c:v>
                </c:pt>
                <c:pt idx="52">
                  <c:v>24120.080077999999</c:v>
                </c:pt>
                <c:pt idx="53">
                  <c:v>24468.890625</c:v>
                </c:pt>
                <c:pt idx="54">
                  <c:v>24375.240234000001</c:v>
                </c:pt>
                <c:pt idx="55">
                  <c:v>24494.509765999999</c:v>
                </c:pt>
                <c:pt idx="56">
                  <c:v>24399.599609000001</c:v>
                </c:pt>
                <c:pt idx="57">
                  <c:v>24528.230468999998</c:v>
                </c:pt>
                <c:pt idx="58">
                  <c:v>24497.080077999999</c:v>
                </c:pt>
                <c:pt idx="59">
                  <c:v>24486.199218999998</c:v>
                </c:pt>
                <c:pt idx="60">
                  <c:v>24855.119140999999</c:v>
                </c:pt>
                <c:pt idx="61">
                  <c:v>24900.890625</c:v>
                </c:pt>
                <c:pt idx="62">
                  <c:v>25082.75</c:v>
                </c:pt>
                <c:pt idx="63">
                  <c:v>25275.640625</c:v>
                </c:pt>
                <c:pt idx="64">
                  <c:v>26236.859375</c:v>
                </c:pt>
                <c:pt idx="65">
                  <c:v>26944.390625</c:v>
                </c:pt>
                <c:pt idx="66">
                  <c:v>27272.390625</c:v>
                </c:pt>
                <c:pt idx="67">
                  <c:v>28016.339843999998</c:v>
                </c:pt>
                <c:pt idx="68">
                  <c:v>27561.490234000001</c:v>
                </c:pt>
                <c:pt idx="69">
                  <c:v>27618.820313</c:v>
                </c:pt>
                <c:pt idx="70">
                  <c:v>27739.710938</c:v>
                </c:pt>
                <c:pt idx="71">
                  <c:v>27653.119140999999</c:v>
                </c:pt>
                <c:pt idx="72">
                  <c:v>27094.929688</c:v>
                </c:pt>
                <c:pt idx="73">
                  <c:v>27850.490234000001</c:v>
                </c:pt>
                <c:pt idx="74">
                  <c:v>27933.849609000001</c:v>
                </c:pt>
                <c:pt idx="75">
                  <c:v>27827.699218999998</c:v>
                </c:pt>
                <c:pt idx="76">
                  <c:v>28060.980468999998</c:v>
                </c:pt>
                <c:pt idx="77">
                  <c:v>28433.589843999998</c:v>
                </c:pt>
                <c:pt idx="78">
                  <c:v>28442.75</c:v>
                </c:pt>
                <c:pt idx="79">
                  <c:v>28400.339843999998</c:v>
                </c:pt>
                <c:pt idx="80">
                  <c:v>28133</c:v>
                </c:pt>
                <c:pt idx="81">
                  <c:v>28123.820313</c:v>
                </c:pt>
                <c:pt idx="82">
                  <c:v>27755.539063</c:v>
                </c:pt>
                <c:pt idx="83">
                  <c:v>27640.910156000002</c:v>
                </c:pt>
                <c:pt idx="84">
                  <c:v>27289.970702999999</c:v>
                </c:pt>
                <c:pt idx="85">
                  <c:v>27577.339843999998</c:v>
                </c:pt>
                <c:pt idx="86">
                  <c:v>27718.199218999998</c:v>
                </c:pt>
                <c:pt idx="87">
                  <c:v>27407.179688</c:v>
                </c:pt>
                <c:pt idx="88">
                  <c:v>27249.279297000001</c:v>
                </c:pt>
                <c:pt idx="89">
                  <c:v>27286.550781000002</c:v>
                </c:pt>
                <c:pt idx="90">
                  <c:v>27822.279297000001</c:v>
                </c:pt>
                <c:pt idx="91">
                  <c:v>27591.25</c:v>
                </c:pt>
                <c:pt idx="92">
                  <c:v>27693.539063</c:v>
                </c:pt>
                <c:pt idx="93">
                  <c:v>27585.050781000002</c:v>
                </c:pt>
                <c:pt idx="94">
                  <c:v>27523.720702999999</c:v>
                </c:pt>
                <c:pt idx="95">
                  <c:v>27992.830077999999</c:v>
                </c:pt>
                <c:pt idx="96">
                  <c:v>28249.859375</c:v>
                </c:pt>
                <c:pt idx="97">
                  <c:v>28081.210938</c:v>
                </c:pt>
                <c:pt idx="98">
                  <c:v>27454.310547000001</c:v>
                </c:pt>
                <c:pt idx="99">
                  <c:v>27424.189452999999</c:v>
                </c:pt>
                <c:pt idx="100">
                  <c:v>27597.160156000002</c:v>
                </c:pt>
                <c:pt idx="101">
                  <c:v>27466.720702999999</c:v>
                </c:pt>
                <c:pt idx="102">
                  <c:v>27657.470702999999</c:v>
                </c:pt>
                <c:pt idx="103">
                  <c:v>27551.890625</c:v>
                </c:pt>
                <c:pt idx="104">
                  <c:v>27260.160156000002</c:v>
                </c:pt>
                <c:pt idx="105">
                  <c:v>27316.279297000001</c:v>
                </c:pt>
                <c:pt idx="106">
                  <c:v>26989.519531000002</c:v>
                </c:pt>
                <c:pt idx="107">
                  <c:v>26687.640625</c:v>
                </c:pt>
                <c:pt idx="108">
                  <c:v>26907.849609000001</c:v>
                </c:pt>
                <c:pt idx="109">
                  <c:v>27280.539063</c:v>
                </c:pt>
                <c:pt idx="110">
                  <c:v>26861.810547000001</c:v>
                </c:pt>
                <c:pt idx="111">
                  <c:v>26566.699218999998</c:v>
                </c:pt>
                <c:pt idx="112">
                  <c:v>26753.789063</c:v>
                </c:pt>
                <c:pt idx="113">
                  <c:v>26694.660156000002</c:v>
                </c:pt>
                <c:pt idx="114">
                  <c:v>26760.529297000001</c:v>
                </c:pt>
                <c:pt idx="115">
                  <c:v>27080.849609000001</c:v>
                </c:pt>
                <c:pt idx="116">
                  <c:v>27333.460938</c:v>
                </c:pt>
                <c:pt idx="117">
                  <c:v>27404.970702999999</c:v>
                </c:pt>
                <c:pt idx="118">
                  <c:v>27145.75</c:v>
                </c:pt>
                <c:pt idx="119">
                  <c:v>26663.869140999999</c:v>
                </c:pt>
                <c:pt idx="120">
                  <c:v>25966.980468999998</c:v>
                </c:pt>
                <c:pt idx="121">
                  <c:v>26250.029297000001</c:v>
                </c:pt>
                <c:pt idx="122">
                  <c:v>26282.320313</c:v>
                </c:pt>
                <c:pt idx="123">
                  <c:v>26064.109375</c:v>
                </c:pt>
                <c:pt idx="124">
                  <c:v>25236.279297000001</c:v>
                </c:pt>
                <c:pt idx="125">
                  <c:v>24975.310547000001</c:v>
                </c:pt>
                <c:pt idx="126">
                  <c:v>23516.560547000001</c:v>
                </c:pt>
                <c:pt idx="127">
                  <c:v>24392.789063</c:v>
                </c:pt>
                <c:pt idx="128">
                  <c:v>24901.279297000001</c:v>
                </c:pt>
                <c:pt idx="129">
                  <c:v>25224.009765999999</c:v>
                </c:pt>
                <c:pt idx="130">
                  <c:v>25120.910156000002</c:v>
                </c:pt>
                <c:pt idx="131">
                  <c:v>25055.759765999999</c:v>
                </c:pt>
                <c:pt idx="132">
                  <c:v>25162.779297000001</c:v>
                </c:pt>
                <c:pt idx="133">
                  <c:v>25415.269531000002</c:v>
                </c:pt>
                <c:pt idx="134">
                  <c:v>25404.810547000001</c:v>
                </c:pt>
                <c:pt idx="135">
                  <c:v>25536.429688</c:v>
                </c:pt>
                <c:pt idx="136">
                  <c:v>25282.619140999999</c:v>
                </c:pt>
                <c:pt idx="137">
                  <c:v>25398.849609000001</c:v>
                </c:pt>
                <c:pt idx="138">
                  <c:v>25128.509765999999</c:v>
                </c:pt>
                <c:pt idx="139">
                  <c:v>24351.960938</c:v>
                </c:pt>
                <c:pt idx="140">
                  <c:v>24503.939452999999</c:v>
                </c:pt>
                <c:pt idx="141">
                  <c:v>24619.449218999998</c:v>
                </c:pt>
                <c:pt idx="142">
                  <c:v>24497.980468999998</c:v>
                </c:pt>
                <c:pt idx="143">
                  <c:v>24636.279297000001</c:v>
                </c:pt>
                <c:pt idx="144">
                  <c:v>24411.419922000001</c:v>
                </c:pt>
                <c:pt idx="145">
                  <c:v>24406.119140999999</c:v>
                </c:pt>
                <c:pt idx="146">
                  <c:v>24514.160156000002</c:v>
                </c:pt>
                <c:pt idx="147">
                  <c:v>24375.279297000001</c:v>
                </c:pt>
                <c:pt idx="148">
                  <c:v>24552.470702999999</c:v>
                </c:pt>
                <c:pt idx="149">
                  <c:v>24521.119140999999</c:v>
                </c:pt>
                <c:pt idx="150">
                  <c:v>24498.210938</c:v>
                </c:pt>
                <c:pt idx="151">
                  <c:v>23916.019531000002</c:v>
                </c:pt>
                <c:pt idx="152">
                  <c:v>24018.800781000002</c:v>
                </c:pt>
                <c:pt idx="153">
                  <c:v>23991.029297000001</c:v>
                </c:pt>
                <c:pt idx="154">
                  <c:v>23814.650390999999</c:v>
                </c:pt>
                <c:pt idx="155">
                  <c:v>23474.970702999999</c:v>
                </c:pt>
                <c:pt idx="156">
                  <c:v>23167.849609000001</c:v>
                </c:pt>
                <c:pt idx="157">
                  <c:v>22757.470702999999</c:v>
                </c:pt>
                <c:pt idx="158">
                  <c:v>22409.619140999999</c:v>
                </c:pt>
                <c:pt idx="159">
                  <c:v>21251.570313</c:v>
                </c:pt>
                <c:pt idx="160">
                  <c:v>21404.960938</c:v>
                </c:pt>
                <c:pt idx="161">
                  <c:v>21080.390625</c:v>
                </c:pt>
                <c:pt idx="162">
                  <c:v>21838.539063</c:v>
                </c:pt>
                <c:pt idx="163">
                  <c:v>21612.390625</c:v>
                </c:pt>
                <c:pt idx="164">
                  <c:v>21670.580077999999</c:v>
                </c:pt>
                <c:pt idx="165">
                  <c:v>21185.429688</c:v>
                </c:pt>
                <c:pt idx="166">
                  <c:v>20934.939452999999</c:v>
                </c:pt>
                <c:pt idx="167">
                  <c:v>20840.609375</c:v>
                </c:pt>
                <c:pt idx="168">
                  <c:v>20583.519531000002</c:v>
                </c:pt>
                <c:pt idx="169">
                  <c:v>21259.039063</c:v>
                </c:pt>
                <c:pt idx="170">
                  <c:v>22131.310547000001</c:v>
                </c:pt>
                <c:pt idx="171">
                  <c:v>21562.5</c:v>
                </c:pt>
                <c:pt idx="172">
                  <c:v>21504.369140999999</c:v>
                </c:pt>
                <c:pt idx="173">
                  <c:v>21561.900390999999</c:v>
                </c:pt>
                <c:pt idx="174">
                  <c:v>21455.230468999998</c:v>
                </c:pt>
                <c:pt idx="175">
                  <c:v>21966.660156000002</c:v>
                </c:pt>
                <c:pt idx="176">
                  <c:v>21854.630859000001</c:v>
                </c:pt>
                <c:pt idx="177">
                  <c:v>21920.830077999999</c:v>
                </c:pt>
                <c:pt idx="178">
                  <c:v>21756.929688</c:v>
                </c:pt>
                <c:pt idx="179">
                  <c:v>21796.580077999999</c:v>
                </c:pt>
                <c:pt idx="180">
                  <c:v>21302.910156000002</c:v>
                </c:pt>
                <c:pt idx="181">
                  <c:v>21095.980468999998</c:v>
                </c:pt>
                <c:pt idx="182">
                  <c:v>21186.320313</c:v>
                </c:pt>
                <c:pt idx="183">
                  <c:v>20556.599609000001</c:v>
                </c:pt>
                <c:pt idx="184">
                  <c:v>20846.300781000002</c:v>
                </c:pt>
                <c:pt idx="185">
                  <c:v>21506.089843999998</c:v>
                </c:pt>
                <c:pt idx="186">
                  <c:v>21854.5</c:v>
                </c:pt>
                <c:pt idx="187">
                  <c:v>21831.619140999999</c:v>
                </c:pt>
                <c:pt idx="188">
                  <c:v>22515.759765999999</c:v>
                </c:pt>
                <c:pt idx="189">
                  <c:v>22354.910156000002</c:v>
                </c:pt>
                <c:pt idx="190">
                  <c:v>22458.800781000002</c:v>
                </c:pt>
                <c:pt idx="191">
                  <c:v>22730.929688</c:v>
                </c:pt>
                <c:pt idx="192">
                  <c:v>22600.460938</c:v>
                </c:pt>
                <c:pt idx="193">
                  <c:v>22439.910156000002</c:v>
                </c:pt>
                <c:pt idx="194">
                  <c:v>22888.169922000001</c:v>
                </c:pt>
                <c:pt idx="195">
                  <c:v>23067.369140999999</c:v>
                </c:pt>
                <c:pt idx="196">
                  <c:v>23075.609375</c:v>
                </c:pt>
                <c:pt idx="197">
                  <c:v>22989.220702999999</c:v>
                </c:pt>
                <c:pt idx="198">
                  <c:v>22845.369140999999</c:v>
                </c:pt>
                <c:pt idx="199">
                  <c:v>23151.939452999999</c:v>
                </c:pt>
                <c:pt idx="200">
                  <c:v>23116.25</c:v>
                </c:pt>
                <c:pt idx="201">
                  <c:v>23142.730468999998</c:v>
                </c:pt>
                <c:pt idx="202">
                  <c:v>22956.570313</c:v>
                </c:pt>
                <c:pt idx="203">
                  <c:v>22819.939452999999</c:v>
                </c:pt>
                <c:pt idx="204">
                  <c:v>22640.039063</c:v>
                </c:pt>
                <c:pt idx="205">
                  <c:v>22370.039063</c:v>
                </c:pt>
                <c:pt idx="206">
                  <c:v>22568.429688</c:v>
                </c:pt>
                <c:pt idx="207">
                  <c:v>23053.570313</c:v>
                </c:pt>
                <c:pt idx="208">
                  <c:v>23051.039063</c:v>
                </c:pt>
                <c:pt idx="209">
                  <c:v>22867.330077999999</c:v>
                </c:pt>
                <c:pt idx="210">
                  <c:v>22726.769531000002</c:v>
                </c:pt>
                <c:pt idx="211">
                  <c:v>22401.699218999998</c:v>
                </c:pt>
                <c:pt idx="212">
                  <c:v>22352.169922000001</c:v>
                </c:pt>
                <c:pt idx="213">
                  <c:v>22888.919922000001</c:v>
                </c:pt>
                <c:pt idx="214">
                  <c:v>22396.140625</c:v>
                </c:pt>
                <c:pt idx="215">
                  <c:v>22010.820313</c:v>
                </c:pt>
                <c:pt idx="216">
                  <c:v>22264.25</c:v>
                </c:pt>
                <c:pt idx="217">
                  <c:v>22188.259765999999</c:v>
                </c:pt>
                <c:pt idx="218">
                  <c:v>22500.220702999999</c:v>
                </c:pt>
                <c:pt idx="219">
                  <c:v>22754.720702999999</c:v>
                </c:pt>
                <c:pt idx="220">
                  <c:v>22665.900390999999</c:v>
                </c:pt>
                <c:pt idx="221">
                  <c:v>22587.630859000001</c:v>
                </c:pt>
                <c:pt idx="222">
                  <c:v>22498</c:v>
                </c:pt>
                <c:pt idx="223">
                  <c:v>22488.939452999999</c:v>
                </c:pt>
                <c:pt idx="224">
                  <c:v>22068.320313</c:v>
                </c:pt>
                <c:pt idx="225">
                  <c:v>21996.419922000001</c:v>
                </c:pt>
                <c:pt idx="226">
                  <c:v>22381.349609000001</c:v>
                </c:pt>
                <c:pt idx="227">
                  <c:v>22479.689452999999</c:v>
                </c:pt>
                <c:pt idx="228">
                  <c:v>22417.009765999999</c:v>
                </c:pt>
                <c:pt idx="229">
                  <c:v>22235.890625</c:v>
                </c:pt>
                <c:pt idx="230">
                  <c:v>22203.220702999999</c:v>
                </c:pt>
                <c:pt idx="231">
                  <c:v>21905.130859000001</c:v>
                </c:pt>
                <c:pt idx="232">
                  <c:v>21803.759765999999</c:v>
                </c:pt>
                <c:pt idx="233">
                  <c:v>21704.609375</c:v>
                </c:pt>
                <c:pt idx="234">
                  <c:v>21464.050781000002</c:v>
                </c:pt>
                <c:pt idx="235">
                  <c:v>21309.849609000001</c:v>
                </c:pt>
                <c:pt idx="236">
                  <c:v>21274.369140999999</c:v>
                </c:pt>
                <c:pt idx="237">
                  <c:v>21701.210938</c:v>
                </c:pt>
                <c:pt idx="238">
                  <c:v>21872.060547000001</c:v>
                </c:pt>
                <c:pt idx="239">
                  <c:v>21755.560547000001</c:v>
                </c:pt>
                <c:pt idx="240">
                  <c:v>21791.679688</c:v>
                </c:pt>
                <c:pt idx="241">
                  <c:v>21830.019531000002</c:v>
                </c:pt>
                <c:pt idx="242">
                  <c:v>22040.589843999998</c:v>
                </c:pt>
                <c:pt idx="243">
                  <c:v>22138.130859000001</c:v>
                </c:pt>
                <c:pt idx="244">
                  <c:v>21919.619140999999</c:v>
                </c:pt>
                <c:pt idx="245">
                  <c:v>21999.619140999999</c:v>
                </c:pt>
                <c:pt idx="246">
                  <c:v>21882.150390999999</c:v>
                </c:pt>
                <c:pt idx="247">
                  <c:v>21914.400390999999</c:v>
                </c:pt>
                <c:pt idx="248">
                  <c:v>21327.119140999999</c:v>
                </c:pt>
                <c:pt idx="249">
                  <c:v>21188.720702999999</c:v>
                </c:pt>
                <c:pt idx="250">
                  <c:v>20980.810547000001</c:v>
                </c:pt>
                <c:pt idx="251">
                  <c:v>20333.339843999998</c:v>
                </c:pt>
                <c:pt idx="252">
                  <c:v>20453.710938</c:v>
                </c:pt>
                <c:pt idx="253">
                  <c:v>19888.5</c:v>
                </c:pt>
                <c:pt idx="254">
                  <c:v>19711.759765999999</c:v>
                </c:pt>
                <c:pt idx="255">
                  <c:v>19934.880859000001</c:v>
                </c:pt>
                <c:pt idx="256">
                  <c:v>19817.410156000002</c:v>
                </c:pt>
                <c:pt idx="257">
                  <c:v>19520.769531000002</c:v>
                </c:pt>
                <c:pt idx="258">
                  <c:v>19237.449218999998</c:v>
                </c:pt>
                <c:pt idx="259">
                  <c:v>19635.810547000001</c:v>
                </c:pt>
                <c:pt idx="260">
                  <c:v>18886.300781000002</c:v>
                </c:pt>
                <c:pt idx="261">
                  <c:v>18542.150390999999</c:v>
                </c:pt>
                <c:pt idx="262">
                  <c:v>19080.509765999999</c:v>
                </c:pt>
                <c:pt idx="263">
                  <c:v>19340.140625</c:v>
                </c:pt>
                <c:pt idx="264">
                  <c:v>18860.800781000002</c:v>
                </c:pt>
                <c:pt idx="265">
                  <c:v>19052.449218999998</c:v>
                </c:pt>
                <c:pt idx="266">
                  <c:v>19195.830077999999</c:v>
                </c:pt>
                <c:pt idx="267">
                  <c:v>19683.109375</c:v>
                </c:pt>
                <c:pt idx="268">
                  <c:v>19595.5</c:v>
                </c:pt>
                <c:pt idx="269">
                  <c:v>19446.839843999998</c:v>
                </c:pt>
                <c:pt idx="270">
                  <c:v>18991.589843999998</c:v>
                </c:pt>
                <c:pt idx="271">
                  <c:v>19183.089843999998</c:v>
                </c:pt>
                <c:pt idx="272">
                  <c:v>19288.169922000001</c:v>
                </c:pt>
                <c:pt idx="273">
                  <c:v>18545.800781000002</c:v>
                </c:pt>
                <c:pt idx="274">
                  <c:v>18319.580077999999</c:v>
                </c:pt>
                <c:pt idx="275">
                  <c:v>18918.140625</c:v>
                </c:pt>
                <c:pt idx="276">
                  <c:v>19122.080077999999</c:v>
                </c:pt>
                <c:pt idx="277">
                  <c:v>18924.570313</c:v>
                </c:pt>
                <c:pt idx="278">
                  <c:v>19363.080077999999</c:v>
                </c:pt>
                <c:pt idx="279">
                  <c:v>19285.5</c:v>
                </c:pt>
                <c:pt idx="280">
                  <c:v>19464.089843999998</c:v>
                </c:pt>
                <c:pt idx="281">
                  <c:v>19414.779297000001</c:v>
                </c:pt>
                <c:pt idx="282">
                  <c:v>19192.449218999998</c:v>
                </c:pt>
                <c:pt idx="283">
                  <c:v>18888.75</c:v>
                </c:pt>
                <c:pt idx="284">
                  <c:v>19364.150390999999</c:v>
                </c:pt>
                <c:pt idx="285">
                  <c:v>19111.929688</c:v>
                </c:pt>
                <c:pt idx="286">
                  <c:v>19407.460938</c:v>
                </c:pt>
                <c:pt idx="287">
                  <c:v>20003.490234000001</c:v>
                </c:pt>
                <c:pt idx="288">
                  <c:v>19941.759765999999</c:v>
                </c:pt>
                <c:pt idx="289">
                  <c:v>20176.699218999998</c:v>
                </c:pt>
                <c:pt idx="290">
                  <c:v>20159.720702999999</c:v>
                </c:pt>
                <c:pt idx="291">
                  <c:v>20011.580077999999</c:v>
                </c:pt>
                <c:pt idx="292">
                  <c:v>19996.259765999999</c:v>
                </c:pt>
                <c:pt idx="293">
                  <c:v>19984.419922000001</c:v>
                </c:pt>
                <c:pt idx="294">
                  <c:v>20199.599609000001</c:v>
                </c:pt>
                <c:pt idx="295">
                  <c:v>20435.339843999998</c:v>
                </c:pt>
                <c:pt idx="296">
                  <c:v>20288.769531000002</c:v>
                </c:pt>
                <c:pt idx="297">
                  <c:v>20257.699218999998</c:v>
                </c:pt>
                <c:pt idx="298">
                  <c:v>20503.810547000001</c:v>
                </c:pt>
                <c:pt idx="299">
                  <c:v>20671.630859000001</c:v>
                </c:pt>
                <c:pt idx="300">
                  <c:v>20684.150390999999</c:v>
                </c:pt>
                <c:pt idx="301">
                  <c:v>20666.75</c:v>
                </c:pt>
                <c:pt idx="302">
                  <c:v>20615.230468999998</c:v>
                </c:pt>
                <c:pt idx="303">
                  <c:v>20345.609375</c:v>
                </c:pt>
                <c:pt idx="304">
                  <c:v>20366.300781000002</c:v>
                </c:pt>
                <c:pt idx="305">
                  <c:v>20803.390625</c:v>
                </c:pt>
                <c:pt idx="306">
                  <c:v>20776.699218999998</c:v>
                </c:pt>
                <c:pt idx="307">
                  <c:v>20498.919922000001</c:v>
                </c:pt>
                <c:pt idx="308">
                  <c:v>20177</c:v>
                </c:pt>
                <c:pt idx="309">
                  <c:v>20206.669922000001</c:v>
                </c:pt>
                <c:pt idx="310">
                  <c:v>20266.050781000002</c:v>
                </c:pt>
                <c:pt idx="311">
                  <c:v>20370.400390999999</c:v>
                </c:pt>
                <c:pt idx="312">
                  <c:v>20440.810547000001</c:v>
                </c:pt>
                <c:pt idx="313">
                  <c:v>20504.439452999999</c:v>
                </c:pt>
                <c:pt idx="314">
                  <c:v>21158.710938</c:v>
                </c:pt>
                <c:pt idx="315">
                  <c:v>21337.810547000001</c:v>
                </c:pt>
                <c:pt idx="316">
                  <c:v>21316.470702999999</c:v>
                </c:pt>
                <c:pt idx="317">
                  <c:v>21161.5</c:v>
                </c:pt>
                <c:pt idx="318">
                  <c:v>21436.210938</c:v>
                </c:pt>
                <c:pt idx="319">
                  <c:v>21236.310547000001</c:v>
                </c:pt>
                <c:pt idx="320">
                  <c:v>21622.25</c:v>
                </c:pt>
                <c:pt idx="321">
                  <c:v>21467.039063</c:v>
                </c:pt>
                <c:pt idx="322">
                  <c:v>21304.439452999999</c:v>
                </c:pt>
                <c:pt idx="323">
                  <c:v>21407.269531000002</c:v>
                </c:pt>
                <c:pt idx="324">
                  <c:v>21361.599609000001</c:v>
                </c:pt>
                <c:pt idx="325">
                  <c:v>21388.029297000001</c:v>
                </c:pt>
                <c:pt idx="326">
                  <c:v>21067.050781000002</c:v>
                </c:pt>
                <c:pt idx="327">
                  <c:v>20676.939452999999</c:v>
                </c:pt>
                <c:pt idx="328">
                  <c:v>20525.830077999999</c:v>
                </c:pt>
                <c:pt idx="329">
                  <c:v>20449.820313</c:v>
                </c:pt>
                <c:pt idx="330">
                  <c:v>20109.869140999999</c:v>
                </c:pt>
                <c:pt idx="331">
                  <c:v>20156.810547000001</c:v>
                </c:pt>
                <c:pt idx="332">
                  <c:v>20242.679688</c:v>
                </c:pt>
                <c:pt idx="333">
                  <c:v>20055.289063</c:v>
                </c:pt>
                <c:pt idx="334">
                  <c:v>19915.460938</c:v>
                </c:pt>
                <c:pt idx="335">
                  <c:v>19719.289063</c:v>
                </c:pt>
                <c:pt idx="336">
                  <c:v>19883.949218999998</c:v>
                </c:pt>
                <c:pt idx="337">
                  <c:v>20118.800781000002</c:v>
                </c:pt>
                <c:pt idx="338">
                  <c:v>19826.410156000002</c:v>
                </c:pt>
                <c:pt idx="339">
                  <c:v>19694.330077999999</c:v>
                </c:pt>
                <c:pt idx="340">
                  <c:v>19852.199218999998</c:v>
                </c:pt>
                <c:pt idx="341">
                  <c:v>19809.029297000001</c:v>
                </c:pt>
                <c:pt idx="342">
                  <c:v>19830.429688</c:v>
                </c:pt>
                <c:pt idx="343">
                  <c:v>20368.050781000002</c:v>
                </c:pt>
                <c:pt idx="344">
                  <c:v>20397.109375</c:v>
                </c:pt>
                <c:pt idx="345">
                  <c:v>20576.769531000002</c:v>
                </c:pt>
                <c:pt idx="346">
                  <c:v>20629.390625</c:v>
                </c:pt>
                <c:pt idx="347">
                  <c:v>20815.089843999998</c:v>
                </c:pt>
                <c:pt idx="348">
                  <c:v>20760.980468999998</c:v>
                </c:pt>
                <c:pt idx="349">
                  <c:v>20859.220702999999</c:v>
                </c:pt>
                <c:pt idx="350">
                  <c:v>20947.240234000001</c:v>
                </c:pt>
                <c:pt idx="351">
                  <c:v>21030.220702999999</c:v>
                </c:pt>
                <c:pt idx="352">
                  <c:v>21328.240234000001</c:v>
                </c:pt>
                <c:pt idx="353">
                  <c:v>21297.880859000001</c:v>
                </c:pt>
                <c:pt idx="354">
                  <c:v>21042.640625</c:v>
                </c:pt>
                <c:pt idx="355">
                  <c:v>20512.990234000001</c:v>
                </c:pt>
                <c:pt idx="356">
                  <c:v>20387.529297000001</c:v>
                </c:pt>
                <c:pt idx="357">
                  <c:v>20467.519531000002</c:v>
                </c:pt>
                <c:pt idx="358">
                  <c:v>20038.419922000001</c:v>
                </c:pt>
                <c:pt idx="359">
                  <c:v>20169.980468999998</c:v>
                </c:pt>
                <c:pt idx="360">
                  <c:v>20510.199218999998</c:v>
                </c:pt>
                <c:pt idx="361">
                  <c:v>20668.439452999999</c:v>
                </c:pt>
                <c:pt idx="362">
                  <c:v>20795.119140999999</c:v>
                </c:pt>
                <c:pt idx="363">
                  <c:v>20868.339843999998</c:v>
                </c:pt>
                <c:pt idx="364">
                  <c:v>20259.130859000001</c:v>
                </c:pt>
                <c:pt idx="365">
                  <c:v>20227.300781000002</c:v>
                </c:pt>
                <c:pt idx="366">
                  <c:v>20172.460938</c:v>
                </c:pt>
                <c:pt idx="367">
                  <c:v>20436.119140999999</c:v>
                </c:pt>
                <c:pt idx="368">
                  <c:v>20794.369140999999</c:v>
                </c:pt>
                <c:pt idx="369">
                  <c:v>21059.199218999998</c:v>
                </c:pt>
                <c:pt idx="370">
                  <c:v>20750.720702999999</c:v>
                </c:pt>
                <c:pt idx="371">
                  <c:v>20495.289063</c:v>
                </c:pt>
                <c:pt idx="372">
                  <c:v>20706.919922000001</c:v>
                </c:pt>
                <c:pt idx="373">
                  <c:v>20564.169922000001</c:v>
                </c:pt>
                <c:pt idx="374">
                  <c:v>20880.5</c:v>
                </c:pt>
                <c:pt idx="375">
                  <c:v>21224.740234000001</c:v>
                </c:pt>
                <c:pt idx="376">
                  <c:v>21322.369140999999</c:v>
                </c:pt>
                <c:pt idx="377">
                  <c:v>21561.060547000001</c:v>
                </c:pt>
                <c:pt idx="378">
                  <c:v>21659.25</c:v>
                </c:pt>
                <c:pt idx="379">
                  <c:v>21803.179688</c:v>
                </c:pt>
                <c:pt idx="380">
                  <c:v>21673.199218999998</c:v>
                </c:pt>
                <c:pt idx="381">
                  <c:v>21882.480468999998</c:v>
                </c:pt>
                <c:pt idx="382">
                  <c:v>22000.490234000001</c:v>
                </c:pt>
                <c:pt idx="383">
                  <c:v>21964.269531000002</c:v>
                </c:pt>
                <c:pt idx="384">
                  <c:v>21993.439452999999</c:v>
                </c:pt>
                <c:pt idx="385">
                  <c:v>22129.730468999998</c:v>
                </c:pt>
                <c:pt idx="386">
                  <c:v>22218.990234000001</c:v>
                </c:pt>
                <c:pt idx="387">
                  <c:v>22174.339843999998</c:v>
                </c:pt>
                <c:pt idx="388">
                  <c:v>21891.369140999999</c:v>
                </c:pt>
                <c:pt idx="389">
                  <c:v>22129.140625</c:v>
                </c:pt>
                <c:pt idx="390">
                  <c:v>21739.119140999999</c:v>
                </c:pt>
                <c:pt idx="391">
                  <c:v>21832.230468999998</c:v>
                </c:pt>
                <c:pt idx="392">
                  <c:v>22146.089843999998</c:v>
                </c:pt>
                <c:pt idx="393">
                  <c:v>22494.759765999999</c:v>
                </c:pt>
                <c:pt idx="394">
                  <c:v>22465.609375</c:v>
                </c:pt>
                <c:pt idx="395">
                  <c:v>22492.429688</c:v>
                </c:pt>
                <c:pt idx="396">
                  <c:v>22580.550781000002</c:v>
                </c:pt>
                <c:pt idx="397">
                  <c:v>22766.910156000002</c:v>
                </c:pt>
                <c:pt idx="398">
                  <c:v>22932.509765999999</c:v>
                </c:pt>
                <c:pt idx="399">
                  <c:v>22910.839843999998</c:v>
                </c:pt>
                <c:pt idx="400">
                  <c:v>22799.779297000001</c:v>
                </c:pt>
                <c:pt idx="401">
                  <c:v>23023.160156000002</c:v>
                </c:pt>
                <c:pt idx="402">
                  <c:v>22937.220702999999</c:v>
                </c:pt>
                <c:pt idx="403">
                  <c:v>22997.910156000002</c:v>
                </c:pt>
                <c:pt idx="404">
                  <c:v>22998.929688</c:v>
                </c:pt>
                <c:pt idx="405">
                  <c:v>22820.779297000001</c:v>
                </c:pt>
                <c:pt idx="406">
                  <c:v>22814.949218999998</c:v>
                </c:pt>
                <c:pt idx="407">
                  <c:v>22909.539063</c:v>
                </c:pt>
                <c:pt idx="408">
                  <c:v>22821.339843999998</c:v>
                </c:pt>
                <c:pt idx="409">
                  <c:v>23016.109375</c:v>
                </c:pt>
                <c:pt idx="410">
                  <c:v>22976.880859000001</c:v>
                </c:pt>
                <c:pt idx="411">
                  <c:v>23162.339843999998</c:v>
                </c:pt>
                <c:pt idx="412">
                  <c:v>23266.699218999998</c:v>
                </c:pt>
                <c:pt idx="413">
                  <c:v>23649.550781000002</c:v>
                </c:pt>
                <c:pt idx="414">
                  <c:v>23787.679688</c:v>
                </c:pt>
                <c:pt idx="415">
                  <c:v>23741.810547000001</c:v>
                </c:pt>
                <c:pt idx="416">
                  <c:v>23919.339843999998</c:v>
                </c:pt>
                <c:pt idx="417">
                  <c:v>24099.699218999998</c:v>
                </c:pt>
                <c:pt idx="418">
                  <c:v>23290.599609000001</c:v>
                </c:pt>
                <c:pt idx="419">
                  <c:v>23215.759765999999</c:v>
                </c:pt>
                <c:pt idx="420">
                  <c:v>23190.640625</c:v>
                </c:pt>
                <c:pt idx="421">
                  <c:v>23335.589843999998</c:v>
                </c:pt>
                <c:pt idx="422">
                  <c:v>23550.449218999998</c:v>
                </c:pt>
                <c:pt idx="423">
                  <c:v>23530.859375</c:v>
                </c:pt>
                <c:pt idx="424">
                  <c:v>23669.900390999999</c:v>
                </c:pt>
                <c:pt idx="425">
                  <c:v>23759.800781000002</c:v>
                </c:pt>
                <c:pt idx="426">
                  <c:v>23686.480468999998</c:v>
                </c:pt>
                <c:pt idx="427">
                  <c:v>23317.919922000001</c:v>
                </c:pt>
                <c:pt idx="428">
                  <c:v>23571.900390999999</c:v>
                </c:pt>
                <c:pt idx="429">
                  <c:v>23619.650390999999</c:v>
                </c:pt>
                <c:pt idx="430">
                  <c:v>23739.470702999999</c:v>
                </c:pt>
                <c:pt idx="431">
                  <c:v>23297.150390999999</c:v>
                </c:pt>
                <c:pt idx="432">
                  <c:v>23584.429688</c:v>
                </c:pt>
                <c:pt idx="433">
                  <c:v>23689.439452999999</c:v>
                </c:pt>
                <c:pt idx="434">
                  <c:v>23788.310547000001</c:v>
                </c:pt>
                <c:pt idx="435">
                  <c:v>23952.5</c:v>
                </c:pt>
                <c:pt idx="436">
                  <c:v>23851.820313</c:v>
                </c:pt>
                <c:pt idx="437">
                  <c:v>23549.519531000002</c:v>
                </c:pt>
                <c:pt idx="438">
                  <c:v>23407.050781000002</c:v>
                </c:pt>
                <c:pt idx="439">
                  <c:v>23031.300781000002</c:v>
                </c:pt>
                <c:pt idx="440">
                  <c:v>23233.310547000001</c:v>
                </c:pt>
                <c:pt idx="441">
                  <c:v>23037.539063</c:v>
                </c:pt>
                <c:pt idx="442">
                  <c:v>23394.390625</c:v>
                </c:pt>
                <c:pt idx="443">
                  <c:v>23304.970702999999</c:v>
                </c:pt>
                <c:pt idx="444">
                  <c:v>23374.400390999999</c:v>
                </c:pt>
                <c:pt idx="445">
                  <c:v>23604.080077999999</c:v>
                </c:pt>
                <c:pt idx="446">
                  <c:v>23565.109375</c:v>
                </c:pt>
                <c:pt idx="447">
                  <c:v>23325.429688</c:v>
                </c:pt>
                <c:pt idx="448">
                  <c:v>23132.349609000001</c:v>
                </c:pt>
                <c:pt idx="449">
                  <c:v>22954.810547000001</c:v>
                </c:pt>
                <c:pt idx="450">
                  <c:v>22934.539063</c:v>
                </c:pt>
                <c:pt idx="451">
                  <c:v>23147.070313</c:v>
                </c:pt>
                <c:pt idx="452">
                  <c:v>22810.5</c:v>
                </c:pt>
                <c:pt idx="453">
                  <c:v>22683.509765999999</c:v>
                </c:pt>
                <c:pt idx="454">
                  <c:v>22642.619140999999</c:v>
                </c:pt>
                <c:pt idx="455">
                  <c:v>22801.400390999999</c:v>
                </c:pt>
                <c:pt idx="456">
                  <c:v>22909.470702999999</c:v>
                </c:pt>
                <c:pt idx="457">
                  <c:v>22415.189452999999</c:v>
                </c:pt>
                <c:pt idx="458">
                  <c:v>22839.109375</c:v>
                </c:pt>
                <c:pt idx="459">
                  <c:v>22531.089843999998</c:v>
                </c:pt>
                <c:pt idx="460">
                  <c:v>22222.220702999999</c:v>
                </c:pt>
                <c:pt idx="461">
                  <c:v>22323.910156000002</c:v>
                </c:pt>
                <c:pt idx="462">
                  <c:v>22280.529297000001</c:v>
                </c:pt>
                <c:pt idx="463">
                  <c:v>22262.880859000001</c:v>
                </c:pt>
                <c:pt idx="464">
                  <c:v>22344.210938</c:v>
                </c:pt>
                <c:pt idx="465">
                  <c:v>22357.779297000001</c:v>
                </c:pt>
                <c:pt idx="466">
                  <c:v>22678.070313</c:v>
                </c:pt>
                <c:pt idx="467">
                  <c:v>22676.689452999999</c:v>
                </c:pt>
                <c:pt idx="468">
                  <c:v>22608.490234000001</c:v>
                </c:pt>
                <c:pt idx="469">
                  <c:v>22723.449218999998</c:v>
                </c:pt>
                <c:pt idx="470">
                  <c:v>22830.570313</c:v>
                </c:pt>
                <c:pt idx="471">
                  <c:v>22737.070313</c:v>
                </c:pt>
                <c:pt idx="472">
                  <c:v>22789.769531000002</c:v>
                </c:pt>
                <c:pt idx="473">
                  <c:v>22878.230468999998</c:v>
                </c:pt>
                <c:pt idx="474">
                  <c:v>22564.820313</c:v>
                </c:pt>
                <c:pt idx="475">
                  <c:v>22505.550781000002</c:v>
                </c:pt>
                <c:pt idx="476">
                  <c:v>22675.150390999999</c:v>
                </c:pt>
                <c:pt idx="477">
                  <c:v>22800.919922000001</c:v>
                </c:pt>
                <c:pt idx="478">
                  <c:v>22861.839843999998</c:v>
                </c:pt>
                <c:pt idx="479">
                  <c:v>22760.980468999998</c:v>
                </c:pt>
                <c:pt idx="480">
                  <c:v>22433.019531000002</c:v>
                </c:pt>
                <c:pt idx="481">
                  <c:v>22446.699218999998</c:v>
                </c:pt>
                <c:pt idx="482">
                  <c:v>22456.619140999999</c:v>
                </c:pt>
                <c:pt idx="483">
                  <c:v>22059.400390999999</c:v>
                </c:pt>
                <c:pt idx="484">
                  <c:v>22020.75</c:v>
                </c:pt>
                <c:pt idx="485">
                  <c:v>21832.679688</c:v>
                </c:pt>
                <c:pt idx="486">
                  <c:v>21729.060547000001</c:v>
                </c:pt>
                <c:pt idx="487">
                  <c:v>21809.800781000002</c:v>
                </c:pt>
                <c:pt idx="488">
                  <c:v>21636.199218999998</c:v>
                </c:pt>
                <c:pt idx="489">
                  <c:v>21574.759765999999</c:v>
                </c:pt>
                <c:pt idx="490">
                  <c:v>21754.740234000001</c:v>
                </c:pt>
                <c:pt idx="491">
                  <c:v>21790.910156000002</c:v>
                </c:pt>
                <c:pt idx="492">
                  <c:v>22000.560547000001</c:v>
                </c:pt>
                <c:pt idx="493">
                  <c:v>22150.400390999999</c:v>
                </c:pt>
                <c:pt idx="494">
                  <c:v>22134.470702999999</c:v>
                </c:pt>
                <c:pt idx="495">
                  <c:v>22456.689452999999</c:v>
                </c:pt>
                <c:pt idx="496">
                  <c:v>22503.009765999999</c:v>
                </c:pt>
                <c:pt idx="497">
                  <c:v>22558.689452999999</c:v>
                </c:pt>
                <c:pt idx="498">
                  <c:v>22744.849609000001</c:v>
                </c:pt>
                <c:pt idx="499">
                  <c:v>22935.349609000001</c:v>
                </c:pt>
                <c:pt idx="500">
                  <c:v>22829.019531000002</c:v>
                </c:pt>
                <c:pt idx="501">
                  <c:v>22937.380859000001</c:v>
                </c:pt>
                <c:pt idx="502">
                  <c:v>22718.150390999999</c:v>
                </c:pt>
                <c:pt idx="503">
                  <c:v>22840.970702999999</c:v>
                </c:pt>
                <c:pt idx="504">
                  <c:v>23098.259765999999</c:v>
                </c:pt>
                <c:pt idx="505">
                  <c:v>23049.960938</c:v>
                </c:pt>
                <c:pt idx="506">
                  <c:v>22885.910156000002</c:v>
                </c:pt>
                <c:pt idx="507">
                  <c:v>22898.519531000002</c:v>
                </c:pt>
                <c:pt idx="508">
                  <c:v>22949.859375</c:v>
                </c:pt>
                <c:pt idx="509">
                  <c:v>23049.119140999999</c:v>
                </c:pt>
                <c:pt idx="510">
                  <c:v>23374.169922000001</c:v>
                </c:pt>
                <c:pt idx="511">
                  <c:v>23360.779297000001</c:v>
                </c:pt>
                <c:pt idx="512">
                  <c:v>23318.390625</c:v>
                </c:pt>
                <c:pt idx="513">
                  <c:v>23184.519531000002</c:v>
                </c:pt>
                <c:pt idx="514">
                  <c:v>23129.210938</c:v>
                </c:pt>
                <c:pt idx="515">
                  <c:v>23348.240234000001</c:v>
                </c:pt>
                <c:pt idx="516">
                  <c:v>23331.570313</c:v>
                </c:pt>
                <c:pt idx="517">
                  <c:v>23485.130859000001</c:v>
                </c:pt>
                <c:pt idx="518">
                  <c:v>23525.140625</c:v>
                </c:pt>
                <c:pt idx="519">
                  <c:v>23574.980468999998</c:v>
                </c:pt>
                <c:pt idx="520">
                  <c:v>23710.980468999998</c:v>
                </c:pt>
                <c:pt idx="521">
                  <c:v>23703.009765999999</c:v>
                </c:pt>
                <c:pt idx="522">
                  <c:v>23994.869140999999</c:v>
                </c:pt>
                <c:pt idx="523">
                  <c:v>24107.699218999998</c:v>
                </c:pt>
                <c:pt idx="524">
                  <c:v>24033.740234000001</c:v>
                </c:pt>
                <c:pt idx="525">
                  <c:v>24146.080077999999</c:v>
                </c:pt>
                <c:pt idx="526">
                  <c:v>23963.630859000001</c:v>
                </c:pt>
                <c:pt idx="527">
                  <c:v>24201.960938</c:v>
                </c:pt>
                <c:pt idx="528">
                  <c:v>24114.859375</c:v>
                </c:pt>
                <c:pt idx="529">
                  <c:v>23965.699218999998</c:v>
                </c:pt>
                <c:pt idx="530">
                  <c:v>23925.050781000002</c:v>
                </c:pt>
                <c:pt idx="531">
                  <c:v>23740.730468999998</c:v>
                </c:pt>
                <c:pt idx="532">
                  <c:v>23776.490234000001</c:v>
                </c:pt>
                <c:pt idx="533">
                  <c:v>23728.070313</c:v>
                </c:pt>
                <c:pt idx="534">
                  <c:v>23552.720702999999</c:v>
                </c:pt>
                <c:pt idx="535">
                  <c:v>23596.279297000001</c:v>
                </c:pt>
                <c:pt idx="536">
                  <c:v>23681.070313</c:v>
                </c:pt>
                <c:pt idx="537">
                  <c:v>23782.269531000002</c:v>
                </c:pt>
                <c:pt idx="538">
                  <c:v>23501.560547000001</c:v>
                </c:pt>
                <c:pt idx="539">
                  <c:v>23568.669922000001</c:v>
                </c:pt>
                <c:pt idx="540">
                  <c:v>23829.669922000001</c:v>
                </c:pt>
                <c:pt idx="541">
                  <c:v>23827.949218999998</c:v>
                </c:pt>
                <c:pt idx="542">
                  <c:v>23792.849609000001</c:v>
                </c:pt>
                <c:pt idx="543">
                  <c:v>24288.279297000001</c:v>
                </c:pt>
                <c:pt idx="544">
                  <c:v>24309.929688</c:v>
                </c:pt>
                <c:pt idx="545">
                  <c:v>24501.990234000001</c:v>
                </c:pt>
                <c:pt idx="546">
                  <c:v>24593.119140999999</c:v>
                </c:pt>
                <c:pt idx="547">
                  <c:v>24320.410156000002</c:v>
                </c:pt>
                <c:pt idx="548">
                  <c:v>24327.699218999998</c:v>
                </c:pt>
                <c:pt idx="549">
                  <c:v>24358.269531000002</c:v>
                </c:pt>
                <c:pt idx="550">
                  <c:v>24193.699218999998</c:v>
                </c:pt>
                <c:pt idx="551">
                  <c:v>24345.869140999999</c:v>
                </c:pt>
                <c:pt idx="552">
                  <c:v>24392.050781000002</c:v>
                </c:pt>
                <c:pt idx="553">
                  <c:v>24301.089843999998</c:v>
                </c:pt>
                <c:pt idx="554">
                  <c:v>24111.589843999998</c:v>
                </c:pt>
                <c:pt idx="555">
                  <c:v>24261.480468999998</c:v>
                </c:pt>
                <c:pt idx="556">
                  <c:v>24400.800781000002</c:v>
                </c:pt>
                <c:pt idx="557">
                  <c:v>24273.720702999999</c:v>
                </c:pt>
                <c:pt idx="558">
                  <c:v>24267.300781000002</c:v>
                </c:pt>
                <c:pt idx="559">
                  <c:v>24262.179688</c:v>
                </c:pt>
                <c:pt idx="560">
                  <c:v>24088.460938</c:v>
                </c:pt>
                <c:pt idx="561">
                  <c:v>24313.5</c:v>
                </c:pt>
                <c:pt idx="562">
                  <c:v>24261.660156000002</c:v>
                </c:pt>
                <c:pt idx="563">
                  <c:v>23924.539063</c:v>
                </c:pt>
                <c:pt idx="564">
                  <c:v>23825.880859000001</c:v>
                </c:pt>
                <c:pt idx="565">
                  <c:v>24056.980468999998</c:v>
                </c:pt>
                <c:pt idx="566">
                  <c:v>24042.019531000002</c:v>
                </c:pt>
                <c:pt idx="567">
                  <c:v>24139.480468999998</c:v>
                </c:pt>
                <c:pt idx="568">
                  <c:v>24455.939452999999</c:v>
                </c:pt>
                <c:pt idx="569">
                  <c:v>24578.429688</c:v>
                </c:pt>
                <c:pt idx="570">
                  <c:v>24698.480468999998</c:v>
                </c:pt>
                <c:pt idx="571">
                  <c:v>24615.130859000001</c:v>
                </c:pt>
                <c:pt idx="572">
                  <c:v>24696.130859000001</c:v>
                </c:pt>
                <c:pt idx="573">
                  <c:v>24683.880859000001</c:v>
                </c:pt>
                <c:pt idx="574">
                  <c:v>24476.349609000001</c:v>
                </c:pt>
                <c:pt idx="575">
                  <c:v>24577.910156000002</c:v>
                </c:pt>
                <c:pt idx="576">
                  <c:v>24889.029297000001</c:v>
                </c:pt>
                <c:pt idx="577">
                  <c:v>25015.419922000001</c:v>
                </c:pt>
                <c:pt idx="578">
                  <c:v>25125.550781000002</c:v>
                </c:pt>
                <c:pt idx="579">
                  <c:v>25156.339843999998</c:v>
                </c:pt>
                <c:pt idx="580">
                  <c:v>25371.589843999998</c:v>
                </c:pt>
                <c:pt idx="581">
                  <c:v>25335.939452999999</c:v>
                </c:pt>
                <c:pt idx="582">
                  <c:v>25293.630859000001</c:v>
                </c:pt>
                <c:pt idx="583">
                  <c:v>25136.519531000002</c:v>
                </c:pt>
                <c:pt idx="584">
                  <c:v>25174.869140999999</c:v>
                </c:pt>
                <c:pt idx="585">
                  <c:v>25391.339843999998</c:v>
                </c:pt>
                <c:pt idx="586">
                  <c:v>25403.150390999999</c:v>
                </c:pt>
                <c:pt idx="587">
                  <c:v>25428.5</c:v>
                </c:pt>
                <c:pt idx="588">
                  <c:v>25630.779297000001</c:v>
                </c:pt>
                <c:pt idx="589">
                  <c:v>25639.269531000002</c:v>
                </c:pt>
                <c:pt idx="590">
                  <c:v>25701.630859000001</c:v>
                </c:pt>
                <c:pt idx="591">
                  <c:v>25660.650390999999</c:v>
                </c:pt>
                <c:pt idx="592">
                  <c:v>25809.220702999999</c:v>
                </c:pt>
                <c:pt idx="593">
                  <c:v>25924.050781000002</c:v>
                </c:pt>
                <c:pt idx="594">
                  <c:v>25862.990234000001</c:v>
                </c:pt>
                <c:pt idx="595">
                  <c:v>25997.140625</c:v>
                </c:pt>
                <c:pt idx="596">
                  <c:v>25974.160156000002</c:v>
                </c:pt>
                <c:pt idx="597">
                  <c:v>26063.060547000001</c:v>
                </c:pt>
                <c:pt idx="598">
                  <c:v>26030.289063</c:v>
                </c:pt>
                <c:pt idx="599">
                  <c:v>25708.039063</c:v>
                </c:pt>
                <c:pt idx="600">
                  <c:v>25852.099609000001</c:v>
                </c:pt>
                <c:pt idx="601">
                  <c:v>25875.900390999999</c:v>
                </c:pt>
                <c:pt idx="602">
                  <c:v>25565.339843999998</c:v>
                </c:pt>
                <c:pt idx="603">
                  <c:v>25626.490234000001</c:v>
                </c:pt>
                <c:pt idx="604">
                  <c:v>25924.550781000002</c:v>
                </c:pt>
                <c:pt idx="605">
                  <c:v>25843.039063</c:v>
                </c:pt>
                <c:pt idx="606">
                  <c:v>25694.580077999999</c:v>
                </c:pt>
                <c:pt idx="607">
                  <c:v>25674.529297000001</c:v>
                </c:pt>
                <c:pt idx="608">
                  <c:v>25670.050781000002</c:v>
                </c:pt>
                <c:pt idx="609">
                  <c:v>25871.890625</c:v>
                </c:pt>
                <c:pt idx="610">
                  <c:v>25839.990234000001</c:v>
                </c:pt>
                <c:pt idx="611">
                  <c:v>25683.5</c:v>
                </c:pt>
                <c:pt idx="612">
                  <c:v>25965.419922000001</c:v>
                </c:pt>
                <c:pt idx="613">
                  <c:v>25764.580077999999</c:v>
                </c:pt>
                <c:pt idx="614">
                  <c:v>25784.169922000001</c:v>
                </c:pt>
                <c:pt idx="615">
                  <c:v>25389.009765999999</c:v>
                </c:pt>
                <c:pt idx="616">
                  <c:v>25521.970702999999</c:v>
                </c:pt>
                <c:pt idx="617">
                  <c:v>25465.220702999999</c:v>
                </c:pt>
                <c:pt idx="618">
                  <c:v>25340.849609000001</c:v>
                </c:pt>
                <c:pt idx="619">
                  <c:v>25500.060547000001</c:v>
                </c:pt>
                <c:pt idx="620">
                  <c:v>25877.640625</c:v>
                </c:pt>
                <c:pt idx="621">
                  <c:v>26043.640625</c:v>
                </c:pt>
                <c:pt idx="622">
                  <c:v>26346.169922000001</c:v>
                </c:pt>
                <c:pt idx="623">
                  <c:v>26389.230468999998</c:v>
                </c:pt>
                <c:pt idx="624">
                  <c:v>26470.580077999999</c:v>
                </c:pt>
                <c:pt idx="625">
                  <c:v>26524.939452999999</c:v>
                </c:pt>
                <c:pt idx="626">
                  <c:v>26672.160156000002</c:v>
                </c:pt>
                <c:pt idx="627">
                  <c:v>26740.210938</c:v>
                </c:pt>
                <c:pt idx="628">
                  <c:v>26706.089843999998</c:v>
                </c:pt>
                <c:pt idx="629">
                  <c:v>26846.830077999999</c:v>
                </c:pt>
                <c:pt idx="630">
                  <c:v>26852.050781000002</c:v>
                </c:pt>
                <c:pt idx="631">
                  <c:v>26941.019531000002</c:v>
                </c:pt>
                <c:pt idx="632">
                  <c:v>27131.169922000001</c:v>
                </c:pt>
                <c:pt idx="633">
                  <c:v>26979.390625</c:v>
                </c:pt>
                <c:pt idx="634">
                  <c:v>27323.990234000001</c:v>
                </c:pt>
                <c:pt idx="635">
                  <c:v>27540.230468999998</c:v>
                </c:pt>
                <c:pt idx="636">
                  <c:v>27607.380859000001</c:v>
                </c:pt>
                <c:pt idx="637">
                  <c:v>27531.009765999999</c:v>
                </c:pt>
                <c:pt idx="638">
                  <c:v>27562.679688</c:v>
                </c:pt>
                <c:pt idx="639">
                  <c:v>27690.359375</c:v>
                </c:pt>
                <c:pt idx="640">
                  <c:v>27854.910156000002</c:v>
                </c:pt>
                <c:pt idx="641">
                  <c:v>27757.089843999998</c:v>
                </c:pt>
                <c:pt idx="642">
                  <c:v>27444</c:v>
                </c:pt>
                <c:pt idx="643">
                  <c:v>26883.509765999999</c:v>
                </c:pt>
                <c:pt idx="644">
                  <c:v>27250.230468999998</c:v>
                </c:pt>
                <c:pt idx="645">
                  <c:v>27174.960938</c:v>
                </c:pt>
                <c:pt idx="646">
                  <c:v>27409.070313</c:v>
                </c:pt>
                <c:pt idx="647">
                  <c:v>27344.220702999999</c:v>
                </c:pt>
                <c:pt idx="648">
                  <c:v>27047.570313</c:v>
                </c:pt>
                <c:pt idx="649">
                  <c:v>27154.679688</c:v>
                </c:pt>
                <c:pt idx="650">
                  <c:v>27401.669922000001</c:v>
                </c:pt>
                <c:pt idx="651">
                  <c:v>27518.599609000001</c:v>
                </c:pt>
                <c:pt idx="652">
                  <c:v>27848.160156000002</c:v>
                </c:pt>
                <c:pt idx="653">
                  <c:v>27863.289063</c:v>
                </c:pt>
                <c:pt idx="654">
                  <c:v>27765.009765999999</c:v>
                </c:pt>
                <c:pt idx="655">
                  <c:v>28094.609375</c:v>
                </c:pt>
                <c:pt idx="656">
                  <c:v>27970.300781000002</c:v>
                </c:pt>
                <c:pt idx="657">
                  <c:v>27953.160156000002</c:v>
                </c:pt>
                <c:pt idx="658">
                  <c:v>27740.259765999999</c:v>
                </c:pt>
                <c:pt idx="659">
                  <c:v>27741.349609000001</c:v>
                </c:pt>
                <c:pt idx="660">
                  <c:v>27613.759765999999</c:v>
                </c:pt>
                <c:pt idx="661">
                  <c:v>27522.919922000001</c:v>
                </c:pt>
                <c:pt idx="662">
                  <c:v>27668.470702999999</c:v>
                </c:pt>
                <c:pt idx="663">
                  <c:v>27955.130859000001</c:v>
                </c:pt>
                <c:pt idx="664">
                  <c:v>27972.240234000001</c:v>
                </c:pt>
                <c:pt idx="665">
                  <c:v>27894.080077999999</c:v>
                </c:pt>
                <c:pt idx="666">
                  <c:v>27777.199218999998</c:v>
                </c:pt>
                <c:pt idx="667">
                  <c:v>27807.589843999998</c:v>
                </c:pt>
                <c:pt idx="668">
                  <c:v>28159.769531000002</c:v>
                </c:pt>
                <c:pt idx="669">
                  <c:v>28051.410156000002</c:v>
                </c:pt>
                <c:pt idx="670">
                  <c:v>28127.800781000002</c:v>
                </c:pt>
                <c:pt idx="671">
                  <c:v>28110.330077999999</c:v>
                </c:pt>
                <c:pt idx="672">
                  <c:v>27880.529297000001</c:v>
                </c:pt>
                <c:pt idx="673">
                  <c:v>27500.339843999998</c:v>
                </c:pt>
                <c:pt idx="674">
                  <c:v>27513.009765999999</c:v>
                </c:pt>
                <c:pt idx="675">
                  <c:v>27642.429688</c:v>
                </c:pt>
                <c:pt idx="676">
                  <c:v>27421.599609000001</c:v>
                </c:pt>
                <c:pt idx="677">
                  <c:v>27554.300781000002</c:v>
                </c:pt>
                <c:pt idx="678">
                  <c:v>28173.210938</c:v>
                </c:pt>
                <c:pt idx="679">
                  <c:v>28379.179688</c:v>
                </c:pt>
                <c:pt idx="680">
                  <c:v>28458.039063</c:v>
                </c:pt>
                <c:pt idx="681">
                  <c:v>28326.589843999998</c:v>
                </c:pt>
                <c:pt idx="682">
                  <c:v>28490.830077999999</c:v>
                </c:pt>
                <c:pt idx="683">
                  <c:v>28389.570313</c:v>
                </c:pt>
                <c:pt idx="684">
                  <c:v>28459.029297000001</c:v>
                </c:pt>
                <c:pt idx="685">
                  <c:v>28476.429688</c:v>
                </c:pt>
                <c:pt idx="686">
                  <c:v>28692.800781000002</c:v>
                </c:pt>
                <c:pt idx="687">
                  <c:v>28697.490234000001</c:v>
                </c:pt>
                <c:pt idx="688">
                  <c:v>28711.759765999999</c:v>
                </c:pt>
                <c:pt idx="689">
                  <c:v>28159.089843999998</c:v>
                </c:pt>
                <c:pt idx="690">
                  <c:v>28487.240234000001</c:v>
                </c:pt>
                <c:pt idx="691">
                  <c:v>28305.880859000001</c:v>
                </c:pt>
                <c:pt idx="692">
                  <c:v>28154.970702999999</c:v>
                </c:pt>
                <c:pt idx="693">
                  <c:v>28302.890625</c:v>
                </c:pt>
                <c:pt idx="694">
                  <c:v>28202.380859000001</c:v>
                </c:pt>
                <c:pt idx="695">
                  <c:v>28438.849609000001</c:v>
                </c:pt>
                <c:pt idx="696">
                  <c:v>28336.189452999999</c:v>
                </c:pt>
                <c:pt idx="697">
                  <c:v>28245.539063</c:v>
                </c:pt>
                <c:pt idx="698">
                  <c:v>28594.060547000001</c:v>
                </c:pt>
                <c:pt idx="699">
                  <c:v>28518.640625</c:v>
                </c:pt>
                <c:pt idx="700">
                  <c:v>28603.609375</c:v>
                </c:pt>
                <c:pt idx="701">
                  <c:v>28596.800781000002</c:v>
                </c:pt>
                <c:pt idx="702">
                  <c:v>28994.339843999998</c:v>
                </c:pt>
                <c:pt idx="703">
                  <c:v>28907.599609000001</c:v>
                </c:pt>
                <c:pt idx="704">
                  <c:v>29136.570313</c:v>
                </c:pt>
                <c:pt idx="705">
                  <c:v>29120.919922000001</c:v>
                </c:pt>
                <c:pt idx="706">
                  <c:v>29182.179688</c:v>
                </c:pt>
                <c:pt idx="707">
                  <c:v>29152.119140999999</c:v>
                </c:pt>
                <c:pt idx="708">
                  <c:v>28851.689452999999</c:v>
                </c:pt>
                <c:pt idx="709">
                  <c:v>29018.759765999999</c:v>
                </c:pt>
                <c:pt idx="710">
                  <c:v>29199.039063</c:v>
                </c:pt>
                <c:pt idx="711">
                  <c:v>29260.310547000001</c:v>
                </c:pt>
                <c:pt idx="712">
                  <c:v>29818.070313</c:v>
                </c:pt>
                <c:pt idx="713">
                  <c:v>30003.490234000001</c:v>
                </c:pt>
                <c:pt idx="714">
                  <c:v>29707.939452999999</c:v>
                </c:pt>
                <c:pt idx="715">
                  <c:v>29866.320313</c:v>
                </c:pt>
                <c:pt idx="716">
                  <c:v>29686.189452999999</c:v>
                </c:pt>
                <c:pt idx="717">
                  <c:v>29680.849609000001</c:v>
                </c:pt>
                <c:pt idx="718">
                  <c:v>29623.830077999999</c:v>
                </c:pt>
                <c:pt idx="719">
                  <c:v>29177.349609000001</c:v>
                </c:pt>
                <c:pt idx="720">
                  <c:v>29074.240234000001</c:v>
                </c:pt>
                <c:pt idx="721">
                  <c:v>29138.279297000001</c:v>
                </c:pt>
                <c:pt idx="722">
                  <c:v>28842.800781000002</c:v>
                </c:pt>
                <c:pt idx="723">
                  <c:v>28224.800781000002</c:v>
                </c:pt>
                <c:pt idx="724">
                  <c:v>28303.189452999999</c:v>
                </c:pt>
                <c:pt idx="725">
                  <c:v>28639.849609000001</c:v>
                </c:pt>
                <c:pt idx="726">
                  <c:v>28965.289063</c:v>
                </c:pt>
                <c:pt idx="727">
                  <c:v>28793.880859000001</c:v>
                </c:pt>
                <c:pt idx="728">
                  <c:v>29222.099609000001</c:v>
                </c:pt>
                <c:pt idx="729">
                  <c:v>29166.380859000001</c:v>
                </c:pt>
                <c:pt idx="730">
                  <c:v>28848.109375</c:v>
                </c:pt>
                <c:pt idx="731">
                  <c:v>29050.410156000002</c:v>
                </c:pt>
                <c:pt idx="732">
                  <c:v>29253.660156000002</c:v>
                </c:pt>
                <c:pt idx="733">
                  <c:v>29234.089843999998</c:v>
                </c:pt>
                <c:pt idx="734">
                  <c:v>29367.060547000001</c:v>
                </c:pt>
                <c:pt idx="735">
                  <c:v>29578.009765999999</c:v>
                </c:pt>
                <c:pt idx="736">
                  <c:v>29597.660156000002</c:v>
                </c:pt>
                <c:pt idx="737">
                  <c:v>29863.710938</c:v>
                </c:pt>
                <c:pt idx="738">
                  <c:v>29919.150390999999</c:v>
                </c:pt>
                <c:pt idx="739">
                  <c:v>30515.310547000001</c:v>
                </c:pt>
                <c:pt idx="740">
                  <c:v>30560.949218999998</c:v>
                </c:pt>
                <c:pt idx="741">
                  <c:v>30736.480468999998</c:v>
                </c:pt>
                <c:pt idx="742">
                  <c:v>30814.640625</c:v>
                </c:pt>
                <c:pt idx="743">
                  <c:v>30899.529297000001</c:v>
                </c:pt>
                <c:pt idx="744">
                  <c:v>31011.410156000002</c:v>
                </c:pt>
                <c:pt idx="745">
                  <c:v>31073.720702999999</c:v>
                </c:pt>
                <c:pt idx="746">
                  <c:v>31120.390625</c:v>
                </c:pt>
                <c:pt idx="747">
                  <c:v>31412.539063</c:v>
                </c:pt>
                <c:pt idx="748">
                  <c:v>31338.869140999999</c:v>
                </c:pt>
                <c:pt idx="749">
                  <c:v>31904.75</c:v>
                </c:pt>
                <c:pt idx="750">
                  <c:v>31983.410156000002</c:v>
                </c:pt>
                <c:pt idx="751">
                  <c:v>32121.939452999999</c:v>
                </c:pt>
                <c:pt idx="752">
                  <c:v>32254.890625</c:v>
                </c:pt>
                <c:pt idx="753">
                  <c:v>32393.410156000002</c:v>
                </c:pt>
                <c:pt idx="754">
                  <c:v>32930.699219000002</c:v>
                </c:pt>
                <c:pt idx="755">
                  <c:v>32958.691405999998</c:v>
                </c:pt>
                <c:pt idx="756">
                  <c:v>32654.449218999998</c:v>
                </c:pt>
                <c:pt idx="757">
                  <c:v>33154.121094000002</c:v>
                </c:pt>
                <c:pt idx="758">
                  <c:v>32966.890625</c:v>
                </c:pt>
                <c:pt idx="759">
                  <c:v>32607.289063</c:v>
                </c:pt>
                <c:pt idx="760">
                  <c:v>32887.269530999998</c:v>
                </c:pt>
                <c:pt idx="761">
                  <c:v>32642.089843999998</c:v>
                </c:pt>
                <c:pt idx="762">
                  <c:v>32601.779297000001</c:v>
                </c:pt>
                <c:pt idx="763">
                  <c:v>32245.22</c:v>
                </c:pt>
                <c:pt idx="764">
                  <c:v>30595.419922000001</c:v>
                </c:pt>
                <c:pt idx="765">
                  <c:v>30323.199218999998</c:v>
                </c:pt>
                <c:pt idx="766">
                  <c:v>30451.269531000002</c:v>
                </c:pt>
                <c:pt idx="767">
                  <c:v>29507.419922000001</c:v>
                </c:pt>
                <c:pt idx="768">
                  <c:v>29459.630859000001</c:v>
                </c:pt>
                <c:pt idx="769">
                  <c:v>29839.529297000001</c:v>
                </c:pt>
                <c:pt idx="770">
                  <c:v>30515.599609000001</c:v>
                </c:pt>
                <c:pt idx="771">
                  <c:v>31115.429688</c:v>
                </c:pt>
                <c:pt idx="772">
                  <c:v>30873.630859000001</c:v>
                </c:pt>
                <c:pt idx="773">
                  <c:v>31431.890625</c:v>
                </c:pt>
                <c:pt idx="774">
                  <c:v>30965.679688</c:v>
                </c:pt>
                <c:pt idx="775">
                  <c:v>31267.169922000001</c:v>
                </c:pt>
                <c:pt idx="776">
                  <c:v>31498.599609000001</c:v>
                </c:pt>
                <c:pt idx="777">
                  <c:v>31268.660156000002</c:v>
                </c:pt>
                <c:pt idx="778">
                  <c:v>30844.720702999999</c:v>
                </c:pt>
                <c:pt idx="779">
                  <c:v>31044.25</c:v>
                </c:pt>
                <c:pt idx="780">
                  <c:v>30583.449218999998</c:v>
                </c:pt>
                <c:pt idx="781">
                  <c:v>29886.390625</c:v>
                </c:pt>
                <c:pt idx="782">
                  <c:v>30510.730468999998</c:v>
                </c:pt>
                <c:pt idx="783">
                  <c:v>30196.919922000001</c:v>
                </c:pt>
                <c:pt idx="784">
                  <c:v>30654.519531000002</c:v>
                </c:pt>
                <c:pt idx="785">
                  <c:v>30996.210938</c:v>
                </c:pt>
                <c:pt idx="786">
                  <c:v>31594.330077999999</c:v>
                </c:pt>
                <c:pt idx="787">
                  <c:v>31601.449218999998</c:v>
                </c:pt>
                <c:pt idx="788">
                  <c:v>31435.009765999999</c:v>
                </c:pt>
                <c:pt idx="789">
                  <c:v>31541.099609000001</c:v>
                </c:pt>
                <c:pt idx="790">
                  <c:v>31501.970702999999</c:v>
                </c:pt>
                <c:pt idx="791">
                  <c:v>31513.759765999999</c:v>
                </c:pt>
                <c:pt idx="792">
                  <c:v>31549.929688</c:v>
                </c:pt>
                <c:pt idx="793">
                  <c:v>31414.519531000002</c:v>
                </c:pt>
                <c:pt idx="794">
                  <c:v>31071.050781000002</c:v>
                </c:pt>
                <c:pt idx="795">
                  <c:v>30309.289063</c:v>
                </c:pt>
                <c:pt idx="796">
                  <c:v>30548.769531000002</c:v>
                </c:pt>
                <c:pt idx="797">
                  <c:v>30790.830077999999</c:v>
                </c:pt>
                <c:pt idx="798">
                  <c:v>30022.529297000001</c:v>
                </c:pt>
                <c:pt idx="799">
                  <c:v>30093.380859000001</c:v>
                </c:pt>
                <c:pt idx="800">
                  <c:v>30180.099609000001</c:v>
                </c:pt>
                <c:pt idx="801">
                  <c:v>29518.689452999999</c:v>
                </c:pt>
                <c:pt idx="802">
                  <c:v>29844.939452999999</c:v>
                </c:pt>
                <c:pt idx="803">
                  <c:v>30229.580077999999</c:v>
                </c:pt>
                <c:pt idx="804">
                  <c:v>30728.740234000001</c:v>
                </c:pt>
                <c:pt idx="805">
                  <c:v>30897.710938</c:v>
                </c:pt>
                <c:pt idx="806">
                  <c:v>30831.279297000001</c:v>
                </c:pt>
                <c:pt idx="807">
                  <c:v>30808.380859000001</c:v>
                </c:pt>
                <c:pt idx="808">
                  <c:v>30315.589843999998</c:v>
                </c:pt>
                <c:pt idx="809">
                  <c:v>30062.75</c:v>
                </c:pt>
                <c:pt idx="810">
                  <c:v>30284.25</c:v>
                </c:pt>
                <c:pt idx="811">
                  <c:v>30708.439452999999</c:v>
                </c:pt>
                <c:pt idx="812">
                  <c:v>30418.330077999999</c:v>
                </c:pt>
                <c:pt idx="813">
                  <c:v>30254.400390999999</c:v>
                </c:pt>
                <c:pt idx="814">
                  <c:v>30636.240234000001</c:v>
                </c:pt>
                <c:pt idx="815">
                  <c:v>30328.150390999999</c:v>
                </c:pt>
                <c:pt idx="816">
                  <c:v>30007.679688</c:v>
                </c:pt>
                <c:pt idx="817">
                  <c:v>30280.669922000001</c:v>
                </c:pt>
                <c:pt idx="818">
                  <c:v>30808.449218999998</c:v>
                </c:pt>
                <c:pt idx="819">
                  <c:v>30723.880859000001</c:v>
                </c:pt>
                <c:pt idx="820">
                  <c:v>30313.369140999999</c:v>
                </c:pt>
                <c:pt idx="821">
                  <c:v>29926.5</c:v>
                </c:pt>
                <c:pt idx="822">
                  <c:v>29994.259765999999</c:v>
                </c:pt>
                <c:pt idx="823">
                  <c:v>30402.810547000001</c:v>
                </c:pt>
                <c:pt idx="824">
                  <c:v>30536.140625</c:v>
                </c:pt>
                <c:pt idx="825">
                  <c:v>30809.220702999999</c:v>
                </c:pt>
                <c:pt idx="826">
                  <c:v>31122.060547000001</c:v>
                </c:pt>
                <c:pt idx="827">
                  <c:v>31541.080077999999</c:v>
                </c:pt>
                <c:pt idx="828">
                  <c:v>31152.029297000001</c:v>
                </c:pt>
                <c:pt idx="829">
                  <c:v>31110.199218999998</c:v>
                </c:pt>
                <c:pt idx="830">
                  <c:v>30942.150390999999</c:v>
                </c:pt>
                <c:pt idx="831">
                  <c:v>31047.910156000002</c:v>
                </c:pt>
                <c:pt idx="832">
                  <c:v>31234.349609000001</c:v>
                </c:pt>
                <c:pt idx="833">
                  <c:v>30665.640625</c:v>
                </c:pt>
                <c:pt idx="834">
                  <c:v>30760.410156000002</c:v>
                </c:pt>
                <c:pt idx="835">
                  <c:v>30588.039063</c:v>
                </c:pt>
                <c:pt idx="836">
                  <c:v>30792.259765999999</c:v>
                </c:pt>
                <c:pt idx="837">
                  <c:v>30484.580077999999</c:v>
                </c:pt>
                <c:pt idx="838">
                  <c:v>30056.789063</c:v>
                </c:pt>
                <c:pt idx="839">
                  <c:v>30468.560547000001</c:v>
                </c:pt>
                <c:pt idx="840">
                  <c:v>30492.910156000002</c:v>
                </c:pt>
                <c:pt idx="841">
                  <c:v>30997.980468999998</c:v>
                </c:pt>
                <c:pt idx="842">
                  <c:v>31093.449218999998</c:v>
                </c:pt>
                <c:pt idx="843">
                  <c:v>31259.099609000001</c:v>
                </c:pt>
                <c:pt idx="844">
                  <c:v>31512.630859000001</c:v>
                </c:pt>
                <c:pt idx="845">
                  <c:v>30958.210938</c:v>
                </c:pt>
                <c:pt idx="846">
                  <c:v>31063.699218999998</c:v>
                </c:pt>
                <c:pt idx="847">
                  <c:v>31103.060547000001</c:v>
                </c:pt>
                <c:pt idx="848">
                  <c:v>30725.150390999999</c:v>
                </c:pt>
                <c:pt idx="849">
                  <c:v>30440.169922000001</c:v>
                </c:pt>
                <c:pt idx="850">
                  <c:v>30309.490234000001</c:v>
                </c:pt>
                <c:pt idx="851">
                  <c:v>29468.150390999999</c:v>
                </c:pt>
                <c:pt idx="852">
                  <c:v>29696.169922000001</c:v>
                </c:pt>
                <c:pt idx="853">
                  <c:v>29296.050781000002</c:v>
                </c:pt>
                <c:pt idx="854">
                  <c:v>29338.699218999998</c:v>
                </c:pt>
                <c:pt idx="855">
                  <c:v>28961.390625</c:v>
                </c:pt>
                <c:pt idx="856">
                  <c:v>28881.400390999999</c:v>
                </c:pt>
                <c:pt idx="857">
                  <c:v>28356.259765999999</c:v>
                </c:pt>
                <c:pt idx="858">
                  <c:v>28497.320313</c:v>
                </c:pt>
                <c:pt idx="859">
                  <c:v>28955.109375</c:v>
                </c:pt>
                <c:pt idx="860">
                  <c:v>28545.570313</c:v>
                </c:pt>
                <c:pt idx="861">
                  <c:v>28241.669922000001</c:v>
                </c:pt>
                <c:pt idx="862">
                  <c:v>28182.089843999998</c:v>
                </c:pt>
                <c:pt idx="863">
                  <c:v>28315.619140999999</c:v>
                </c:pt>
                <c:pt idx="864">
                  <c:v>28688.5</c:v>
                </c:pt>
                <c:pt idx="865">
                  <c:v>28682.25</c:v>
                </c:pt>
                <c:pt idx="866">
                  <c:v>28311.689452999999</c:v>
                </c:pt>
                <c:pt idx="867">
                  <c:v>28480.830077999999</c:v>
                </c:pt>
                <c:pt idx="868">
                  <c:v>28525.439452999999</c:v>
                </c:pt>
                <c:pt idx="869">
                  <c:v>28539.660156000002</c:v>
                </c:pt>
                <c:pt idx="870">
                  <c:v>28181.679688</c:v>
                </c:pt>
                <c:pt idx="871">
                  <c:v>28117.419922000001</c:v>
                </c:pt>
                <c:pt idx="872">
                  <c:v>28010.859375</c:v>
                </c:pt>
                <c:pt idx="873">
                  <c:v>28224.480468999998</c:v>
                </c:pt>
                <c:pt idx="874">
                  <c:v>28256.119140999999</c:v>
                </c:pt>
                <c:pt idx="875">
                  <c:v>28662.570313</c:v>
                </c:pt>
                <c:pt idx="876">
                  <c:v>28920.900390999999</c:v>
                </c:pt>
                <c:pt idx="877">
                  <c:v>28781.140625</c:v>
                </c:pt>
                <c:pt idx="878">
                  <c:v>28804.279297000001</c:v>
                </c:pt>
                <c:pt idx="879">
                  <c:v>28733.130859000001</c:v>
                </c:pt>
                <c:pt idx="880">
                  <c:v>28583.009765999999</c:v>
                </c:pt>
                <c:pt idx="881">
                  <c:v>28340.740234000001</c:v>
                </c:pt>
                <c:pt idx="882">
                  <c:v>27714.560547000001</c:v>
                </c:pt>
                <c:pt idx="883">
                  <c:v>27676.320313</c:v>
                </c:pt>
                <c:pt idx="884">
                  <c:v>27819.560547000001</c:v>
                </c:pt>
                <c:pt idx="885">
                  <c:v>28248.880859000001</c:v>
                </c:pt>
                <c:pt idx="886">
                  <c:v>28359.140625</c:v>
                </c:pt>
                <c:pt idx="887">
                  <c:v>28607.300781000002</c:v>
                </c:pt>
                <c:pt idx="888">
                  <c:v>28366.619140999999</c:v>
                </c:pt>
                <c:pt idx="889">
                  <c:v>27936.570313</c:v>
                </c:pt>
                <c:pt idx="890">
                  <c:v>27752.929688</c:v>
                </c:pt>
                <c:pt idx="891">
                  <c:v>27323.589843999998</c:v>
                </c:pt>
                <c:pt idx="892">
                  <c:v>27100.060547000001</c:v>
                </c:pt>
                <c:pt idx="893">
                  <c:v>27213.410156000002</c:v>
                </c:pt>
                <c:pt idx="894">
                  <c:v>27598.019531000002</c:v>
                </c:pt>
                <c:pt idx="895">
                  <c:v>27752.789063</c:v>
                </c:pt>
                <c:pt idx="896">
                  <c:v>27927.580077999999</c:v>
                </c:pt>
                <c:pt idx="897">
                  <c:v>27790.460938</c:v>
                </c:pt>
                <c:pt idx="898">
                  <c:v>27671.869140999999</c:v>
                </c:pt>
                <c:pt idx="899">
                  <c:v>28271.269531000002</c:v>
                </c:pt>
                <c:pt idx="900">
                  <c:v>28351.619140999999</c:v>
                </c:pt>
                <c:pt idx="901">
                  <c:v>28416.439452999999</c:v>
                </c:pt>
                <c:pt idx="902">
                  <c:v>28164.050781000002</c:v>
                </c:pt>
                <c:pt idx="903">
                  <c:v>27888.550781000002</c:v>
                </c:pt>
                <c:pt idx="904">
                  <c:v>27712.539063</c:v>
                </c:pt>
                <c:pt idx="905">
                  <c:v>27973.339843999998</c:v>
                </c:pt>
                <c:pt idx="906">
                  <c:v>27243.849609000001</c:v>
                </c:pt>
                <c:pt idx="907">
                  <c:v>26974.820313</c:v>
                </c:pt>
                <c:pt idx="908">
                  <c:v>26973.470702999999</c:v>
                </c:pt>
                <c:pt idx="909">
                  <c:v>26613.419922000001</c:v>
                </c:pt>
                <c:pt idx="910">
                  <c:v>26422.550781000002</c:v>
                </c:pt>
                <c:pt idx="911">
                  <c:v>26345.039063</c:v>
                </c:pt>
                <c:pt idx="912">
                  <c:v>27014.490234000001</c:v>
                </c:pt>
                <c:pt idx="913">
                  <c:v>27286.410156000002</c:v>
                </c:pt>
                <c:pt idx="914">
                  <c:v>26932.849609000001</c:v>
                </c:pt>
                <c:pt idx="915">
                  <c:v>27084.660156000002</c:v>
                </c:pt>
                <c:pt idx="916">
                  <c:v>27407.369140999999</c:v>
                </c:pt>
                <c:pt idx="917">
                  <c:v>27477.669922000001</c:v>
                </c:pt>
                <c:pt idx="918">
                  <c:v>27953.580077999999</c:v>
                </c:pt>
                <c:pt idx="919">
                  <c:v>27499.390625</c:v>
                </c:pt>
                <c:pt idx="920">
                  <c:v>27816.869140999999</c:v>
                </c:pt>
                <c:pt idx="921">
                  <c:v>27715.669922000001</c:v>
                </c:pt>
                <c:pt idx="922">
                  <c:v>27788.519531000002</c:v>
                </c:pt>
                <c:pt idx="923">
                  <c:v>27126.380859000001</c:v>
                </c:pt>
                <c:pt idx="924">
                  <c:v>27091.259765999999</c:v>
                </c:pt>
                <c:pt idx="925">
                  <c:v>26623.869140999999</c:v>
                </c:pt>
                <c:pt idx="926">
                  <c:v>26572.570313</c:v>
                </c:pt>
                <c:pt idx="927">
                  <c:v>26202.570313</c:v>
                </c:pt>
                <c:pt idx="928">
                  <c:v>26172.910156000002</c:v>
                </c:pt>
                <c:pt idx="929">
                  <c:v>26193.070313</c:v>
                </c:pt>
                <c:pt idx="930">
                  <c:v>25266.369140999999</c:v>
                </c:pt>
                <c:pt idx="931">
                  <c:v>25801.490234000001</c:v>
                </c:pt>
                <c:pt idx="932">
                  <c:v>25445.060547000001</c:v>
                </c:pt>
                <c:pt idx="933">
                  <c:v>25462.259765999999</c:v>
                </c:pt>
                <c:pt idx="934">
                  <c:v>25454.550781000002</c:v>
                </c:pt>
                <c:pt idx="935">
                  <c:v>25561.400390999999</c:v>
                </c:pt>
                <c:pt idx="936">
                  <c:v>26153.150390999999</c:v>
                </c:pt>
                <c:pt idx="937">
                  <c:v>25346.550781000002</c:v>
                </c:pt>
                <c:pt idx="938">
                  <c:v>25249.779297000001</c:v>
                </c:pt>
                <c:pt idx="939">
                  <c:v>24994.460938</c:v>
                </c:pt>
                <c:pt idx="940">
                  <c:v>24717.630859000001</c:v>
                </c:pt>
                <c:pt idx="941">
                  <c:v>24812.039063</c:v>
                </c:pt>
                <c:pt idx="942">
                  <c:v>24585.529297000001</c:v>
                </c:pt>
                <c:pt idx="943">
                  <c:v>24979.689452999999</c:v>
                </c:pt>
                <c:pt idx="944">
                  <c:v>25416</c:v>
                </c:pt>
                <c:pt idx="945">
                  <c:v>26486.349609000001</c:v>
                </c:pt>
                <c:pt idx="946">
                  <c:v>25934.390625</c:v>
                </c:pt>
                <c:pt idx="947">
                  <c:v>26120.960938</c:v>
                </c:pt>
                <c:pt idx="948">
                  <c:v>26147.689452999999</c:v>
                </c:pt>
                <c:pt idx="949">
                  <c:v>26227.720702999999</c:v>
                </c:pt>
                <c:pt idx="950">
                  <c:v>25601.919922000001</c:v>
                </c:pt>
                <c:pt idx="951">
                  <c:v>25633.179688</c:v>
                </c:pt>
                <c:pt idx="952">
                  <c:v>25792.869140999999</c:v>
                </c:pt>
                <c:pt idx="953">
                  <c:v>25654.429688</c:v>
                </c:pt>
                <c:pt idx="954">
                  <c:v>26103.339843999998</c:v>
                </c:pt>
                <c:pt idx="955">
                  <c:v>26183.529297000001</c:v>
                </c:pt>
                <c:pt idx="956">
                  <c:v>26372</c:v>
                </c:pt>
                <c:pt idx="957">
                  <c:v>25840.339843999998</c:v>
                </c:pt>
                <c:pt idx="958">
                  <c:v>25971.470702999999</c:v>
                </c:pt>
                <c:pt idx="959">
                  <c:v>26019.410156000002</c:v>
                </c:pt>
                <c:pt idx="960">
                  <c:v>25927.679688</c:v>
                </c:pt>
                <c:pt idx="961">
                  <c:v>26376.179688</c:v>
                </c:pt>
                <c:pt idx="962">
                  <c:v>26331.960938</c:v>
                </c:pt>
                <c:pt idx="963">
                  <c:v>26682.560547000001</c:v>
                </c:pt>
                <c:pt idx="964">
                  <c:v>26451.029297000001</c:v>
                </c:pt>
                <c:pt idx="965">
                  <c:v>26506.75</c:v>
                </c:pt>
                <c:pt idx="966">
                  <c:v>27182.039063</c:v>
                </c:pt>
                <c:pt idx="967">
                  <c:v>27260.439452999999</c:v>
                </c:pt>
                <c:pt idx="968">
                  <c:v>26819.679688</c:v>
                </c:pt>
                <c:pt idx="969">
                  <c:v>26156.380859000001</c:v>
                </c:pt>
                <c:pt idx="970">
                  <c:v>26063.759765999999</c:v>
                </c:pt>
                <c:pt idx="971">
                  <c:v>25752.380859000001</c:v>
                </c:pt>
                <c:pt idx="972">
                  <c:v>25771.669922000001</c:v>
                </c:pt>
                <c:pt idx="973">
                  <c:v>26186.710938</c:v>
                </c:pt>
                <c:pt idx="974">
                  <c:v>26524.349609000001</c:v>
                </c:pt>
                <c:pt idx="975">
                  <c:v>26094.789063</c:v>
                </c:pt>
                <c:pt idx="976">
                  <c:v>26087.980468999998</c:v>
                </c:pt>
                <c:pt idx="977">
                  <c:v>25814.25</c:v>
                </c:pt>
                <c:pt idx="978">
                  <c:v>25865.390625</c:v>
                </c:pt>
                <c:pt idx="979">
                  <c:v>25623.529297000001</c:v>
                </c:pt>
                <c:pt idx="980">
                  <c:v>25753.419922000001</c:v>
                </c:pt>
                <c:pt idx="981">
                  <c:v>25651.380859000001</c:v>
                </c:pt>
                <c:pt idx="982">
                  <c:v>25478.880859000001</c:v>
                </c:pt>
                <c:pt idx="983">
                  <c:v>25504.199218999998</c:v>
                </c:pt>
                <c:pt idx="984">
                  <c:v>25845.699218999998</c:v>
                </c:pt>
                <c:pt idx="985">
                  <c:v>25130.349609000001</c:v>
                </c:pt>
                <c:pt idx="986">
                  <c:v>25064.359375</c:v>
                </c:pt>
                <c:pt idx="987">
                  <c:v>25626.029297000001</c:v>
                </c:pt>
                <c:pt idx="988">
                  <c:v>25835.699218999998</c:v>
                </c:pt>
                <c:pt idx="989">
                  <c:v>25875.449218999998</c:v>
                </c:pt>
                <c:pt idx="990">
                  <c:v>26462.320313</c:v>
                </c:pt>
                <c:pt idx="991">
                  <c:v>26521.429688</c:v>
                </c:pt>
                <c:pt idx="992">
                  <c:v>26667.269531000002</c:v>
                </c:pt>
                <c:pt idx="993">
                  <c:v>26298.330077999999</c:v>
                </c:pt>
                <c:pt idx="994">
                  <c:v>26830.289063</c:v>
                </c:pt>
                <c:pt idx="995">
                  <c:v>26902.099609000001</c:v>
                </c:pt>
                <c:pt idx="996">
                  <c:v>26755.630859000001</c:v>
                </c:pt>
                <c:pt idx="997">
                  <c:v>27090.810547000001</c:v>
                </c:pt>
                <c:pt idx="998">
                  <c:v>27196.539063</c:v>
                </c:pt>
                <c:pt idx="999">
                  <c:v>27005.449218999998</c:v>
                </c:pt>
                <c:pt idx="1000">
                  <c:v>27008.199218999998</c:v>
                </c:pt>
                <c:pt idx="1001">
                  <c:v>27120.980468999998</c:v>
                </c:pt>
                <c:pt idx="1002">
                  <c:v>27569.189452999999</c:v>
                </c:pt>
                <c:pt idx="1003">
                  <c:v>27576.960938</c:v>
                </c:pt>
                <c:pt idx="1004">
                  <c:v>27531.679688</c:v>
                </c:pt>
                <c:pt idx="1005">
                  <c:v>27642.849609000001</c:v>
                </c:pt>
                <c:pt idx="1006">
                  <c:v>27942.470702999999</c:v>
                </c:pt>
                <c:pt idx="1007">
                  <c:v>27930.740234000001</c:v>
                </c:pt>
                <c:pt idx="1008">
                  <c:v>27990.210938</c:v>
                </c:pt>
                <c:pt idx="1009">
                  <c:v>27946.320313</c:v>
                </c:pt>
                <c:pt idx="1010">
                  <c:v>28143.839843999998</c:v>
                </c:pt>
                <c:pt idx="1011">
                  <c:v>28171.330077999999</c:v>
                </c:pt>
                <c:pt idx="1012">
                  <c:v>28497.589843999998</c:v>
                </c:pt>
                <c:pt idx="1013">
                  <c:v>28432.050781000002</c:v>
                </c:pt>
                <c:pt idx="1014">
                  <c:v>27900.839843999998</c:v>
                </c:pt>
                <c:pt idx="1015">
                  <c:v>28347.009765999999</c:v>
                </c:pt>
                <c:pt idx="1016">
                  <c:v>28228.130859000001</c:v>
                </c:pt>
                <c:pt idx="1017">
                  <c:v>28514.050781000002</c:v>
                </c:pt>
                <c:pt idx="1018">
                  <c:v>28629.919922000001</c:v>
                </c:pt>
                <c:pt idx="1019">
                  <c:v>28816.300781000002</c:v>
                </c:pt>
                <c:pt idx="1020">
                  <c:v>28959.300781000002</c:v>
                </c:pt>
                <c:pt idx="1021">
                  <c:v>28772.060547000001</c:v>
                </c:pt>
                <c:pt idx="1022">
                  <c:v>28757.439452999999</c:v>
                </c:pt>
                <c:pt idx="1023">
                  <c:v>28633.179688</c:v>
                </c:pt>
                <c:pt idx="1024">
                  <c:v>28812.169922000001</c:v>
                </c:pt>
                <c:pt idx="1025">
                  <c:v>28959.589843999998</c:v>
                </c:pt>
                <c:pt idx="1026">
                  <c:v>28961.599609000001</c:v>
                </c:pt>
                <c:pt idx="1027">
                  <c:v>29037.599609000001</c:v>
                </c:pt>
                <c:pt idx="1028">
                  <c:v>28779.449218999998</c:v>
                </c:pt>
                <c:pt idx="1029">
                  <c:v>28228.419922000001</c:v>
                </c:pt>
                <c:pt idx="1030">
                  <c:v>28503.300781000002</c:v>
                </c:pt>
                <c:pt idx="1031">
                  <c:v>28920.869140999999</c:v>
                </c:pt>
                <c:pt idx="1032">
                  <c:v>28807.449218999998</c:v>
                </c:pt>
                <c:pt idx="1033">
                  <c:v>28851.390625</c:v>
                </c:pt>
                <c:pt idx="1034">
                  <c:v>29012.259765999999</c:v>
                </c:pt>
                <c:pt idx="1035">
                  <c:v>29409.009765999999</c:v>
                </c:pt>
                <c:pt idx="1036">
                  <c:v>29466.279297000001</c:v>
                </c:pt>
                <c:pt idx="1037">
                  <c:v>29320.970702999999</c:v>
                </c:pt>
                <c:pt idx="1038">
                  <c:v>29071.560547000001</c:v>
                </c:pt>
                <c:pt idx="1039">
                  <c:v>29113.359375</c:v>
                </c:pt>
                <c:pt idx="1040">
                  <c:v>28523.349609000001</c:v>
                </c:pt>
                <c:pt idx="1041">
                  <c:v>28566.910156000002</c:v>
                </c:pt>
                <c:pt idx="1042">
                  <c:v>28728.25</c:v>
                </c:pt>
                <c:pt idx="1043">
                  <c:v>28775.210938</c:v>
                </c:pt>
                <c:pt idx="1044">
                  <c:v>29051.359375</c:v>
                </c:pt>
                <c:pt idx="1045">
                  <c:v>29562.019531000002</c:v>
                </c:pt>
                <c:pt idx="1046">
                  <c:v>29624.669922000001</c:v>
                </c:pt>
                <c:pt idx="1047">
                  <c:v>29986.390625</c:v>
                </c:pt>
                <c:pt idx="1048">
                  <c:v>29936.320313</c:v>
                </c:pt>
                <c:pt idx="1049">
                  <c:v>30077.150390999999</c:v>
                </c:pt>
                <c:pt idx="1050">
                  <c:v>30157.490234000001</c:v>
                </c:pt>
                <c:pt idx="1051">
                  <c:v>30119.560547000001</c:v>
                </c:pt>
                <c:pt idx="1052">
                  <c:v>29839.449218999998</c:v>
                </c:pt>
                <c:pt idx="1053">
                  <c:v>29909.759765999999</c:v>
                </c:pt>
                <c:pt idx="1054">
                  <c:v>29810.720702999999</c:v>
                </c:pt>
                <c:pt idx="1055">
                  <c:v>30129.869140999999</c:v>
                </c:pt>
                <c:pt idx="1056">
                  <c:v>30124.679688</c:v>
                </c:pt>
                <c:pt idx="1057">
                  <c:v>29963.259765999999</c:v>
                </c:pt>
                <c:pt idx="1058">
                  <c:v>29963.240234000001</c:v>
                </c:pt>
                <c:pt idx="1059">
                  <c:v>29805.830077999999</c:v>
                </c:pt>
                <c:pt idx="1060">
                  <c:v>29549.800781000002</c:v>
                </c:pt>
                <c:pt idx="1061">
                  <c:v>29605.009765999999</c:v>
                </c:pt>
                <c:pt idx="1062">
                  <c:v>29892.810547000001</c:v>
                </c:pt>
                <c:pt idx="1063">
                  <c:v>29699.109375</c:v>
                </c:pt>
                <c:pt idx="1064">
                  <c:v>29944.179688</c:v>
                </c:pt>
                <c:pt idx="1065">
                  <c:v>30081.550781000002</c:v>
                </c:pt>
                <c:pt idx="1066">
                  <c:v>29209.820313</c:v>
                </c:pt>
                <c:pt idx="1067">
                  <c:v>29363.019531000002</c:v>
                </c:pt>
                <c:pt idx="1068">
                  <c:v>29003.199218999998</c:v>
                </c:pt>
                <c:pt idx="1069">
                  <c:v>28311.070313</c:v>
                </c:pt>
                <c:pt idx="1070">
                  <c:v>28550.240234000001</c:v>
                </c:pt>
                <c:pt idx="1071">
                  <c:v>28122.019531000002</c:v>
                </c:pt>
                <c:pt idx="1072">
                  <c:v>28268.710938</c:v>
                </c:pt>
                <c:pt idx="1073">
                  <c:v>28275.070313</c:v>
                </c:pt>
                <c:pt idx="1074">
                  <c:v>27946.460938</c:v>
                </c:pt>
                <c:pt idx="1075">
                  <c:v>27787.609375</c:v>
                </c:pt>
                <c:pt idx="1076">
                  <c:v>27657.240234000001</c:v>
                </c:pt>
                <c:pt idx="1077">
                  <c:v>27705.939452999999</c:v>
                </c:pt>
                <c:pt idx="1078">
                  <c:v>27267.130859000001</c:v>
                </c:pt>
                <c:pt idx="1079">
                  <c:v>27353.929688</c:v>
                </c:pt>
                <c:pt idx="1080">
                  <c:v>27288.089843999998</c:v>
                </c:pt>
                <c:pt idx="1081">
                  <c:v>27390.810547000001</c:v>
                </c:pt>
                <c:pt idx="1082">
                  <c:v>27235.710938</c:v>
                </c:pt>
                <c:pt idx="1083">
                  <c:v>27114.880859000001</c:v>
                </c:pt>
                <c:pt idx="1084">
                  <c:v>26901.089843999998</c:v>
                </c:pt>
                <c:pt idx="1085">
                  <c:v>26893.859375</c:v>
                </c:pt>
                <c:pt idx="1086">
                  <c:v>26761.519531000002</c:v>
                </c:pt>
                <c:pt idx="1087">
                  <c:v>26895.439452999999</c:v>
                </c:pt>
                <c:pt idx="1088">
                  <c:v>26965.279297000001</c:v>
                </c:pt>
                <c:pt idx="1089">
                  <c:v>27578.640625</c:v>
                </c:pt>
                <c:pt idx="1090">
                  <c:v>27789.339843999998</c:v>
                </c:pt>
                <c:pt idx="1091">
                  <c:v>27308.460938</c:v>
                </c:pt>
                <c:pt idx="1092">
                  <c:v>27294.710938</c:v>
                </c:pt>
                <c:pt idx="1093">
                  <c:v>27118.349609000001</c:v>
                </c:pt>
                <c:pt idx="1094">
                  <c:v>27227.160156000002</c:v>
                </c:pt>
                <c:pt idx="1095">
                  <c:v>27498.769531000002</c:v>
                </c:pt>
                <c:pt idx="1096">
                  <c:v>28202.140625</c:v>
                </c:pt>
                <c:pt idx="1097">
                  <c:v>28550.429688</c:v>
                </c:pt>
                <c:pt idx="1098">
                  <c:v>28473.710938</c:v>
                </c:pt>
                <c:pt idx="1099">
                  <c:v>28513</c:v>
                </c:pt>
                <c:pt idx="1100">
                  <c:v>28185.980468999998</c:v>
                </c:pt>
                <c:pt idx="1101">
                  <c:v>28221.980468999998</c:v>
                </c:pt>
                <c:pt idx="1102">
                  <c:v>28621.419922000001</c:v>
                </c:pt>
                <c:pt idx="1103">
                  <c:v>28542.619140999999</c:v>
                </c:pt>
                <c:pt idx="1104">
                  <c:v>28875.560547000001</c:v>
                </c:pt>
                <c:pt idx="1105">
                  <c:v>28855.140625</c:v>
                </c:pt>
                <c:pt idx="1106">
                  <c:v>28795.769531000002</c:v>
                </c:pt>
                <c:pt idx="1107">
                  <c:v>28774.830077999999</c:v>
                </c:pt>
                <c:pt idx="1108">
                  <c:v>28331.689452999999</c:v>
                </c:pt>
                <c:pt idx="1109">
                  <c:v>28116.279297000001</c:v>
                </c:pt>
                <c:pt idx="1110">
                  <c:v>28204.689452999999</c:v>
                </c:pt>
                <c:pt idx="1111">
                  <c:v>28431.800781000002</c:v>
                </c:pt>
                <c:pt idx="1112">
                  <c:v>28471.619140999999</c:v>
                </c:pt>
                <c:pt idx="1113">
                  <c:v>28554.880859000001</c:v>
                </c:pt>
                <c:pt idx="1114">
                  <c:v>28619.619140999999</c:v>
                </c:pt>
                <c:pt idx="1115">
                  <c:v>28593.169922000001</c:v>
                </c:pt>
                <c:pt idx="1116">
                  <c:v>28461.660156000002</c:v>
                </c:pt>
                <c:pt idx="1117">
                  <c:v>28765.400390999999</c:v>
                </c:pt>
                <c:pt idx="1118">
                  <c:v>28371.259765999999</c:v>
                </c:pt>
                <c:pt idx="1119">
                  <c:v>28466.480468999998</c:v>
                </c:pt>
                <c:pt idx="1120">
                  <c:v>28524.039063</c:v>
                </c:pt>
                <c:pt idx="1121">
                  <c:v>28594.300781000002</c:v>
                </c:pt>
                <c:pt idx="1122">
                  <c:v>28397.740234000001</c:v>
                </c:pt>
                <c:pt idx="1123">
                  <c:v>28106.410156000002</c:v>
                </c:pt>
                <c:pt idx="1124">
                  <c:v>28146.5</c:v>
                </c:pt>
                <c:pt idx="1125">
                  <c:v>27777.75</c:v>
                </c:pt>
                <c:pt idx="1126">
                  <c:v>27565.699218999998</c:v>
                </c:pt>
                <c:pt idx="1127">
                  <c:v>26918.580077999999</c:v>
                </c:pt>
                <c:pt idx="1128">
                  <c:v>26151.320313</c:v>
                </c:pt>
                <c:pt idx="1129">
                  <c:v>25976.240234000001</c:v>
                </c:pt>
                <c:pt idx="1130">
                  <c:v>25997.029297000001</c:v>
                </c:pt>
                <c:pt idx="1131">
                  <c:v>26120.769531000002</c:v>
                </c:pt>
                <c:pt idx="1132">
                  <c:v>25939.300781000002</c:v>
                </c:pt>
                <c:pt idx="1133">
                  <c:v>25824.720702999999</c:v>
                </c:pt>
                <c:pt idx="1134">
                  <c:v>25281.300781000002</c:v>
                </c:pt>
                <c:pt idx="1135">
                  <c:v>25302.279297000001</c:v>
                </c:pt>
                <c:pt idx="1136">
                  <c:v>25495.460938</c:v>
                </c:pt>
                <c:pt idx="1137">
                  <c:v>25734.220702999999</c:v>
                </c:pt>
                <c:pt idx="1138">
                  <c:v>26291.839843999998</c:v>
                </c:pt>
                <c:pt idx="1139">
                  <c:v>26231.539063</c:v>
                </c:pt>
                <c:pt idx="1140">
                  <c:v>26270.039063</c:v>
                </c:pt>
                <c:pt idx="1141">
                  <c:v>26048.720702999999</c:v>
                </c:pt>
                <c:pt idx="1142">
                  <c:v>26179.330077999999</c:v>
                </c:pt>
                <c:pt idx="1143">
                  <c:v>25680.330077999999</c:v>
                </c:pt>
                <c:pt idx="1144">
                  <c:v>25664.070313</c:v>
                </c:pt>
                <c:pt idx="1145">
                  <c:v>25615.480468999998</c:v>
                </c:pt>
                <c:pt idx="1146">
                  <c:v>25703.5</c:v>
                </c:pt>
                <c:pt idx="1147">
                  <c:v>25724.730468999998</c:v>
                </c:pt>
                <c:pt idx="1148">
                  <c:v>25626.550781000002</c:v>
                </c:pt>
                <c:pt idx="1149">
                  <c:v>25527.849609000001</c:v>
                </c:pt>
                <c:pt idx="1150">
                  <c:v>26523.230468999998</c:v>
                </c:pt>
                <c:pt idx="1151">
                  <c:v>26515.529297000001</c:v>
                </c:pt>
                <c:pt idx="1152">
                  <c:v>26690.759765999999</c:v>
                </c:pt>
                <c:pt idx="1153">
                  <c:v>26681.400390999999</c:v>
                </c:pt>
                <c:pt idx="1154">
                  <c:v>26683.679688</c:v>
                </c:pt>
                <c:pt idx="1155">
                  <c:v>27159.060547000001</c:v>
                </c:pt>
                <c:pt idx="1156">
                  <c:v>27087.630859000001</c:v>
                </c:pt>
                <c:pt idx="1157">
                  <c:v>27352.689452999999</c:v>
                </c:pt>
                <c:pt idx="1158">
                  <c:v>27124.550781000002</c:v>
                </c:pt>
                <c:pt idx="1159">
                  <c:v>26790.240234000001</c:v>
                </c:pt>
                <c:pt idx="1160">
                  <c:v>26754.119140999999</c:v>
                </c:pt>
                <c:pt idx="1161">
                  <c:v>26468.949218999998</c:v>
                </c:pt>
                <c:pt idx="1162">
                  <c:v>26435.669922000001</c:v>
                </c:pt>
                <c:pt idx="1163">
                  <c:v>26222.400390999999</c:v>
                </c:pt>
                <c:pt idx="1164">
                  <c:v>26281</c:v>
                </c:pt>
                <c:pt idx="1165">
                  <c:v>25945.349609000001</c:v>
                </c:pt>
                <c:pt idx="1166">
                  <c:v>26041.929688</c:v>
                </c:pt>
                <c:pt idx="1167">
                  <c:v>25954.810547000001</c:v>
                </c:pt>
                <c:pt idx="1168">
                  <c:v>26092.269531000002</c:v>
                </c:pt>
                <c:pt idx="1169">
                  <c:v>26042.689452999999</c:v>
                </c:pt>
                <c:pt idx="1170">
                  <c:v>26110.310547000001</c:v>
                </c:pt>
                <c:pt idx="1171">
                  <c:v>25821.029297000001</c:v>
                </c:pt>
                <c:pt idx="1172">
                  <c:v>25893.400390999999</c:v>
                </c:pt>
                <c:pt idx="1173">
                  <c:v>25682.810547000001</c:v>
                </c:pt>
                <c:pt idx="1174">
                  <c:v>25707.929688</c:v>
                </c:pt>
                <c:pt idx="1175">
                  <c:v>26308.439452999999</c:v>
                </c:pt>
                <c:pt idx="1176">
                  <c:v>26521.849609000001</c:v>
                </c:pt>
                <c:pt idx="1177">
                  <c:v>26503.929688</c:v>
                </c:pt>
                <c:pt idx="1178">
                  <c:v>26664.279297000001</c:v>
                </c:pt>
                <c:pt idx="1179">
                  <c:v>26848.490234000001</c:v>
                </c:pt>
                <c:pt idx="1180">
                  <c:v>26719.580077999999</c:v>
                </c:pt>
                <c:pt idx="1181">
                  <c:v>26725.679688</c:v>
                </c:pt>
                <c:pt idx="1182">
                  <c:v>26786.199218999998</c:v>
                </c:pt>
                <c:pt idx="1183">
                  <c:v>26566.730468999998</c:v>
                </c:pt>
                <c:pt idx="1184">
                  <c:v>26797.949218999998</c:v>
                </c:pt>
                <c:pt idx="1185">
                  <c:v>26667.390625</c:v>
                </c:pt>
                <c:pt idx="1186">
                  <c:v>26891.259765999999</c:v>
                </c:pt>
                <c:pt idx="1187">
                  <c:v>26786.759765999999</c:v>
                </c:pt>
                <c:pt idx="1188">
                  <c:v>26667.710938</c:v>
                </c:pt>
                <c:pt idx="1189">
                  <c:v>26906.720702999999</c:v>
                </c:pt>
                <c:pt idx="1190">
                  <c:v>27100.759765999999</c:v>
                </c:pt>
                <c:pt idx="1191">
                  <c:v>27547.300781000002</c:v>
                </c:pt>
                <c:pt idx="1192">
                  <c:v>27683.400390999999</c:v>
                </c:pt>
                <c:pt idx="1193">
                  <c:v>27688.640625</c:v>
                </c:pt>
                <c:pt idx="1194">
                  <c:v>27847.230468999998</c:v>
                </c:pt>
                <c:pt idx="1195">
                  <c:v>27651.140625</c:v>
                </c:pt>
                <c:pt idx="1196">
                  <c:v>26926.550781000002</c:v>
                </c:pt>
                <c:pt idx="1197">
                  <c:v>27065.279297000001</c:v>
                </c:pt>
                <c:pt idx="1198">
                  <c:v>26571.460938</c:v>
                </c:pt>
                <c:pt idx="1199">
                  <c:v>26323.689452999999</c:v>
                </c:pt>
                <c:pt idx="1200">
                  <c:v>26326.660156000002</c:v>
                </c:pt>
                <c:pt idx="1201">
                  <c:v>26681.089843999998</c:v>
                </c:pt>
                <c:pt idx="1202">
                  <c:v>27093.800781000002</c:v>
                </c:pt>
                <c:pt idx="1203">
                  <c:v>26889.609375</c:v>
                </c:pt>
                <c:pt idx="1204">
                  <c:v>26466.880859000001</c:v>
                </c:pt>
                <c:pt idx="1205">
                  <c:v>26595.080077999999</c:v>
                </c:pt>
                <c:pt idx="1206">
                  <c:v>26993.039063</c:v>
                </c:pt>
                <c:pt idx="1207">
                  <c:v>26913.919922000001</c:v>
                </c:pt>
                <c:pt idx="1208">
                  <c:v>26954</c:v>
                </c:pt>
                <c:pt idx="1209">
                  <c:v>26893.730468999998</c:v>
                </c:pt>
                <c:pt idx="1210">
                  <c:v>26346.490234000001</c:v>
                </c:pt>
                <c:pt idx="1211">
                  <c:v>26444.720702999999</c:v>
                </c:pt>
                <c:pt idx="1212">
                  <c:v>26391.300781000002</c:v>
                </c:pt>
                <c:pt idx="1213">
                  <c:v>26062.560547000001</c:v>
                </c:pt>
                <c:pt idx="1214">
                  <c:v>26217.039063</c:v>
                </c:pt>
                <c:pt idx="1215">
                  <c:v>26498.369140999999</c:v>
                </c:pt>
                <c:pt idx="1216">
                  <c:v>26494.730468999998</c:v>
                </c:pt>
                <c:pt idx="1217">
                  <c:v>26436.619140999999</c:v>
                </c:pt>
                <c:pt idx="1218">
                  <c:v>26645.429688</c:v>
                </c:pt>
                <c:pt idx="1219">
                  <c:v>26994.140625</c:v>
                </c:pt>
                <c:pt idx="1220">
                  <c:v>27687.759765999999</c:v>
                </c:pt>
                <c:pt idx="1221">
                  <c:v>27508.089843999998</c:v>
                </c:pt>
                <c:pt idx="1222">
                  <c:v>27843.710938</c:v>
                </c:pt>
                <c:pt idx="1223">
                  <c:v>27884.210938</c:v>
                </c:pt>
                <c:pt idx="1224">
                  <c:v>27800.490234000001</c:v>
                </c:pt>
                <c:pt idx="1225">
                  <c:v>27871.349609000001</c:v>
                </c:pt>
                <c:pt idx="1226">
                  <c:v>27906.410156000002</c:v>
                </c:pt>
                <c:pt idx="1227">
                  <c:v>27864.210938</c:v>
                </c:pt>
                <c:pt idx="1228">
                  <c:v>28225.419922000001</c:v>
                </c:pt>
                <c:pt idx="1229">
                  <c:v>28319.390625</c:v>
                </c:pt>
                <c:pt idx="1230">
                  <c:v>28189.75</c:v>
                </c:pt>
                <c:pt idx="1231">
                  <c:v>28543.519531000002</c:v>
                </c:pt>
                <c:pt idx="1232">
                  <c:v>28451.5</c:v>
                </c:pt>
                <c:pt idx="1233">
                  <c:v>28226.189452999999</c:v>
                </c:pt>
                <c:pt idx="1234">
                  <c:v>28322.060547000001</c:v>
                </c:pt>
                <c:pt idx="1235">
                  <c:v>28087.919922000001</c:v>
                </c:pt>
                <c:pt idx="1236">
                  <c:v>28561</c:v>
                </c:pt>
                <c:pt idx="1237">
                  <c:v>28638.199218999998</c:v>
                </c:pt>
                <c:pt idx="1238">
                  <c:v>28954.939452999999</c:v>
                </c:pt>
                <c:pt idx="1239">
                  <c:v>28885.140625</c:v>
                </c:pt>
                <c:pt idx="1240">
                  <c:v>28773.589843999998</c:v>
                </c:pt>
                <c:pt idx="1241">
                  <c:v>28883.039063</c:v>
                </c:pt>
                <c:pt idx="1242">
                  <c:v>29056.419922000001</c:v>
                </c:pt>
                <c:pt idx="1243">
                  <c:v>28795.910156000002</c:v>
                </c:pt>
                <c:pt idx="1244">
                  <c:v>27985.330077999999</c:v>
                </c:pt>
                <c:pt idx="1245">
                  <c:v>28341.039063</c:v>
                </c:pt>
                <c:pt idx="1246">
                  <c:v>27909.119140999999</c:v>
                </c:pt>
                <c:pt idx="1247">
                  <c:v>27949.640625</c:v>
                </c:pt>
                <c:pt idx="1248">
                  <c:v>27160.630859000001</c:v>
                </c:pt>
                <c:pt idx="1249">
                  <c:v>26449.130859000001</c:v>
                </c:pt>
                <c:pt idx="1250">
                  <c:v>26312.630859000001</c:v>
                </c:pt>
                <c:pt idx="1251">
                  <c:v>26356.980468999998</c:v>
                </c:pt>
                <c:pt idx="1252">
                  <c:v>26675.980468999998</c:v>
                </c:pt>
                <c:pt idx="1253">
                  <c:v>26786.740234000001</c:v>
                </c:pt>
                <c:pt idx="1254">
                  <c:v>27493.699218999998</c:v>
                </c:pt>
                <c:pt idx="1255">
                  <c:v>27404.269531000002</c:v>
                </c:pt>
                <c:pt idx="1256">
                  <c:v>27241.339843999998</c:v>
                </c:pt>
                <c:pt idx="1257">
                  <c:v>27583.880859000001</c:v>
                </c:pt>
                <c:pt idx="1258">
                  <c:v>27823.660156000002</c:v>
                </c:pt>
                <c:pt idx="1259">
                  <c:v>27730</c:v>
                </c:pt>
                <c:pt idx="1260">
                  <c:v>27815.599609000001</c:v>
                </c:pt>
                <c:pt idx="1261">
                  <c:v>27959.599609000001</c:v>
                </c:pt>
                <c:pt idx="1262">
                  <c:v>27530.199218999998</c:v>
                </c:pt>
                <c:pt idx="1263">
                  <c:v>27655.810547000001</c:v>
                </c:pt>
                <c:pt idx="1264">
                  <c:v>27609.160156000002</c:v>
                </c:pt>
                <c:pt idx="1265">
                  <c:v>27308.810547000001</c:v>
                </c:pt>
                <c:pt idx="1266">
                  <c:v>26820.880859000001</c:v>
                </c:pt>
                <c:pt idx="1267">
                  <c:v>26893.230468999998</c:v>
                </c:pt>
                <c:pt idx="1268">
                  <c:v>26696.490234000001</c:v>
                </c:pt>
                <c:pt idx="1269">
                  <c:v>26778.619140999999</c:v>
                </c:pt>
                <c:pt idx="1270">
                  <c:v>26129.929688</c:v>
                </c:pt>
                <c:pt idx="1271">
                  <c:v>26291.679688</c:v>
                </c:pt>
                <c:pt idx="1272">
                  <c:v>26284.820313</c:v>
                </c:pt>
                <c:pt idx="1273">
                  <c:v>26222.070313</c:v>
                </c:pt>
                <c:pt idx="1274">
                  <c:v>26767.869140999999</c:v>
                </c:pt>
                <c:pt idx="1275">
                  <c:v>26146.669922000001</c:v>
                </c:pt>
                <c:pt idx="1276">
                  <c:v>25040.460938</c:v>
                </c:pt>
                <c:pt idx="1277">
                  <c:v>25392.509765999999</c:v>
                </c:pt>
                <c:pt idx="1278">
                  <c:v>25231.609375</c:v>
                </c:pt>
                <c:pt idx="1279">
                  <c:v>24309.070313</c:v>
                </c:pt>
                <c:pt idx="1280">
                  <c:v>24032.910156000002</c:v>
                </c:pt>
                <c:pt idx="1281">
                  <c:v>23063.570313</c:v>
                </c:pt>
                <c:pt idx="1282">
                  <c:v>23263.730468999998</c:v>
                </c:pt>
                <c:pt idx="1283">
                  <c:v>22291.820313</c:v>
                </c:pt>
                <c:pt idx="1284">
                  <c:v>21709.130859000001</c:v>
                </c:pt>
                <c:pt idx="1285">
                  <c:v>22805.070313</c:v>
                </c:pt>
                <c:pt idx="1286">
                  <c:v>21696.130859000001</c:v>
                </c:pt>
                <c:pt idx="1287">
                  <c:v>22663.490234000001</c:v>
                </c:pt>
                <c:pt idx="1288">
                  <c:v>23527.189452999999</c:v>
                </c:pt>
                <c:pt idx="1289">
                  <c:v>23352.339843999998</c:v>
                </c:pt>
                <c:pt idx="1290">
                  <c:v>23484.279297000001</c:v>
                </c:pt>
                <c:pt idx="1291">
                  <c:v>23175.109375</c:v>
                </c:pt>
                <c:pt idx="1292">
                  <c:v>23603.480468999998</c:v>
                </c:pt>
                <c:pt idx="1293">
                  <c:v>23085.789063</c:v>
                </c:pt>
                <c:pt idx="1294">
                  <c:v>23280.060547000001</c:v>
                </c:pt>
                <c:pt idx="1295">
                  <c:v>23236.109375</c:v>
                </c:pt>
                <c:pt idx="1296">
                  <c:v>23749.119140999999</c:v>
                </c:pt>
                <c:pt idx="1297">
                  <c:v>24253.289063</c:v>
                </c:pt>
                <c:pt idx="1298">
                  <c:v>23970.369140999999</c:v>
                </c:pt>
                <c:pt idx="1299">
                  <c:v>24300.330077999999</c:v>
                </c:pt>
                <c:pt idx="1300">
                  <c:v>24435.400390999999</c:v>
                </c:pt>
                <c:pt idx="1301">
                  <c:v>24145.339843999998</c:v>
                </c:pt>
                <c:pt idx="1302">
                  <c:v>24006.449218999998</c:v>
                </c:pt>
                <c:pt idx="1303">
                  <c:v>24380</c:v>
                </c:pt>
                <c:pt idx="1304">
                  <c:v>24330.019531000002</c:v>
                </c:pt>
                <c:pt idx="1305">
                  <c:v>23793.550781000002</c:v>
                </c:pt>
                <c:pt idx="1306">
                  <c:v>23893.359375</c:v>
                </c:pt>
                <c:pt idx="1307">
                  <c:v>23977.320313</c:v>
                </c:pt>
                <c:pt idx="1308">
                  <c:v>23831.330077999999</c:v>
                </c:pt>
                <c:pt idx="1309">
                  <c:v>24280.140625</c:v>
                </c:pt>
                <c:pt idx="1310">
                  <c:v>24575.960938</c:v>
                </c:pt>
                <c:pt idx="1311">
                  <c:v>24643.589843999998</c:v>
                </c:pt>
                <c:pt idx="1312">
                  <c:v>23613.800781000002</c:v>
                </c:pt>
                <c:pt idx="1313">
                  <c:v>23868.660156000002</c:v>
                </c:pt>
                <c:pt idx="1314">
                  <c:v>24137.480468999998</c:v>
                </c:pt>
                <c:pt idx="1315">
                  <c:v>23980.630859000001</c:v>
                </c:pt>
                <c:pt idx="1316">
                  <c:v>24230.169922000001</c:v>
                </c:pt>
                <c:pt idx="1317">
                  <c:v>24602.060547000001</c:v>
                </c:pt>
                <c:pt idx="1318">
                  <c:v>24245.679688</c:v>
                </c:pt>
                <c:pt idx="1319">
                  <c:v>24180.300781000002</c:v>
                </c:pt>
                <c:pt idx="1320">
                  <c:v>23829.740234000001</c:v>
                </c:pt>
                <c:pt idx="1321">
                  <c:v>23797.470702999999</c:v>
                </c:pt>
                <c:pt idx="1322">
                  <c:v>23934.769531000002</c:v>
                </c:pt>
                <c:pt idx="1323">
                  <c:v>24388.130859000001</c:v>
                </c:pt>
                <c:pt idx="1324">
                  <c:v>24399.949218999998</c:v>
                </c:pt>
                <c:pt idx="1325">
                  <c:v>24280.029297000001</c:v>
                </c:pt>
                <c:pt idx="1326">
                  <c:v>22930.140625</c:v>
                </c:pt>
                <c:pt idx="1327">
                  <c:v>22952.240234000001</c:v>
                </c:pt>
                <c:pt idx="1328">
                  <c:v>23384.660156000002</c:v>
                </c:pt>
                <c:pt idx="1329">
                  <c:v>23301.359375</c:v>
                </c:pt>
                <c:pt idx="1330">
                  <c:v>23132.759765999999</c:v>
                </c:pt>
                <c:pt idx="1331">
                  <c:v>22961.470702999999</c:v>
                </c:pt>
                <c:pt idx="1332">
                  <c:v>23732.519531000002</c:v>
                </c:pt>
                <c:pt idx="1333">
                  <c:v>23995.939452999999</c:v>
                </c:pt>
                <c:pt idx="1334">
                  <c:v>24325.619140999999</c:v>
                </c:pt>
                <c:pt idx="1335">
                  <c:v>24366.300781000002</c:v>
                </c:pt>
                <c:pt idx="1336">
                  <c:v>24770.410156000002</c:v>
                </c:pt>
                <c:pt idx="1337">
                  <c:v>24776.769531000002</c:v>
                </c:pt>
                <c:pt idx="1338">
                  <c:v>25057.220702999999</c:v>
                </c:pt>
                <c:pt idx="1339">
                  <c:v>25049.730468999998</c:v>
                </c:pt>
                <c:pt idx="1340">
                  <c:v>24480.150390999999</c:v>
                </c:pt>
                <c:pt idx="1341">
                  <c:v>24301.380859000001</c:v>
                </c:pt>
                <c:pt idx="1342">
                  <c:v>23776.949218999998</c:v>
                </c:pt>
                <c:pt idx="1343">
                  <c:v>24344.089843999998</c:v>
                </c:pt>
                <c:pt idx="1344">
                  <c:v>24481.410156000002</c:v>
                </c:pt>
                <c:pt idx="1345">
                  <c:v>24464.939452999999</c:v>
                </c:pt>
                <c:pt idx="1346">
                  <c:v>24643.890625</c:v>
                </c:pt>
                <c:pt idx="1347">
                  <c:v>24511.339843999998</c:v>
                </c:pt>
                <c:pt idx="1348">
                  <c:v>24907.339843999998</c:v>
                </c:pt>
                <c:pt idx="1349">
                  <c:v>24781.580077999999</c:v>
                </c:pt>
                <c:pt idx="1350">
                  <c:v>24549.990234000001</c:v>
                </c:pt>
                <c:pt idx="1351">
                  <c:v>24301.279297000001</c:v>
                </c:pt>
                <c:pt idx="1352">
                  <c:v>24427.189452999999</c:v>
                </c:pt>
                <c:pt idx="1353">
                  <c:v>25124.189452999999</c:v>
                </c:pt>
                <c:pt idx="1354">
                  <c:v>25373.119140999999</c:v>
                </c:pt>
                <c:pt idx="1355">
                  <c:v>26339.160156000002</c:v>
                </c:pt>
                <c:pt idx="1356">
                  <c:v>25975.660156000002</c:v>
                </c:pt>
                <c:pt idx="1357">
                  <c:v>26129.179688</c:v>
                </c:pt>
                <c:pt idx="1358">
                  <c:v>26210.160156000002</c:v>
                </c:pt>
                <c:pt idx="1359">
                  <c:v>25727.410156000002</c:v>
                </c:pt>
                <c:pt idx="1360">
                  <c:v>25772.119140999999</c:v>
                </c:pt>
                <c:pt idx="1361">
                  <c:v>25477.890625</c:v>
                </c:pt>
                <c:pt idx="1362">
                  <c:v>25481.580077999999</c:v>
                </c:pt>
                <c:pt idx="1363">
                  <c:v>24970.689452999999</c:v>
                </c:pt>
                <c:pt idx="1364">
                  <c:v>25089.169922000001</c:v>
                </c:pt>
                <c:pt idx="1365">
                  <c:v>25057.990234000001</c:v>
                </c:pt>
                <c:pt idx="1366">
                  <c:v>25635.660156000002</c:v>
                </c:pt>
                <c:pt idx="1367">
                  <c:v>25057.939452999999</c:v>
                </c:pt>
                <c:pt idx="1368">
                  <c:v>25263</c:v>
                </c:pt>
                <c:pt idx="1369">
                  <c:v>24705.330077999999</c:v>
                </c:pt>
                <c:pt idx="1370">
                  <c:v>24603.259765999999</c:v>
                </c:pt>
                <c:pt idx="1371">
                  <c:v>24772.759765999999</c:v>
                </c:pt>
                <c:pt idx="1372">
                  <c:v>24883.140625</c:v>
                </c:pt>
                <c:pt idx="1373">
                  <c:v>24710.589843999998</c:v>
                </c:pt>
                <c:pt idx="1374">
                  <c:v>24595.349609000001</c:v>
                </c:pt>
                <c:pt idx="1375">
                  <c:v>24458.130859000001</c:v>
                </c:pt>
                <c:pt idx="1376">
                  <c:v>24946.630859000001</c:v>
                </c:pt>
                <c:pt idx="1377">
                  <c:v>25102.539063</c:v>
                </c:pt>
                <c:pt idx="1378">
                  <c:v>24930.580077999999</c:v>
                </c:pt>
                <c:pt idx="1379">
                  <c:v>24531.619140999999</c:v>
                </c:pt>
                <c:pt idx="1380">
                  <c:v>24377.429688</c:v>
                </c:pt>
                <c:pt idx="1381">
                  <c:v>24890.679688</c:v>
                </c:pt>
                <c:pt idx="1382">
                  <c:v>25244.019531000002</c:v>
                </c:pt>
                <c:pt idx="1383">
                  <c:v>25230.669922000001</c:v>
                </c:pt>
                <c:pt idx="1384">
                  <c:v>25183.009765999999</c:v>
                </c:pt>
                <c:pt idx="1385">
                  <c:v>25347.339843999998</c:v>
                </c:pt>
                <c:pt idx="1386">
                  <c:v>25367.380859000001</c:v>
                </c:pt>
                <c:pt idx="1387">
                  <c:v>25178.910156000002</c:v>
                </c:pt>
                <c:pt idx="1388">
                  <c:v>24791.390625</c:v>
                </c:pt>
                <c:pt idx="1389">
                  <c:v>25113.839843999998</c:v>
                </c:pt>
                <c:pt idx="1390">
                  <c:v>25551.580077999999</c:v>
                </c:pt>
                <c:pt idx="1391">
                  <c:v>25486.220702999999</c:v>
                </c:pt>
                <c:pt idx="1392">
                  <c:v>25491.789063</c:v>
                </c:pt>
                <c:pt idx="1393">
                  <c:v>25281.150390999999</c:v>
                </c:pt>
                <c:pt idx="1394">
                  <c:v>25422.060547000001</c:v>
                </c:pt>
                <c:pt idx="1395">
                  <c:v>25177.050781000002</c:v>
                </c:pt>
                <c:pt idx="1396">
                  <c:v>25184.849609000001</c:v>
                </c:pt>
                <c:pt idx="1397">
                  <c:v>25120.089843999998</c:v>
                </c:pt>
                <c:pt idx="1398">
                  <c:v>25007.599609000001</c:v>
                </c:pt>
                <c:pt idx="1399">
                  <c:v>24695.449218999998</c:v>
                </c:pt>
                <c:pt idx="1400">
                  <c:v>24589.650390999999</c:v>
                </c:pt>
                <c:pt idx="1401">
                  <c:v>24624.339843999998</c:v>
                </c:pt>
                <c:pt idx="1402">
                  <c:v>24468.929688</c:v>
                </c:pt>
                <c:pt idx="1403">
                  <c:v>24313.539063</c:v>
                </c:pt>
                <c:pt idx="1404">
                  <c:v>24503.310547000001</c:v>
                </c:pt>
                <c:pt idx="1405">
                  <c:v>24640.279297000001</c:v>
                </c:pt>
                <c:pt idx="1406">
                  <c:v>24732.759765999999</c:v>
                </c:pt>
                <c:pt idx="1407">
                  <c:v>24725.630859000001</c:v>
                </c:pt>
                <c:pt idx="1408">
                  <c:v>24340.849609000001</c:v>
                </c:pt>
                <c:pt idx="1409">
                  <c:v>24455.410156000002</c:v>
                </c:pt>
                <c:pt idx="1410">
                  <c:v>23950.689452999999</c:v>
                </c:pt>
                <c:pt idx="1411">
                  <c:v>23716.849609000001</c:v>
                </c:pt>
                <c:pt idx="1412">
                  <c:v>23742.509765999999</c:v>
                </c:pt>
                <c:pt idx="1413">
                  <c:v>23311.070313</c:v>
                </c:pt>
                <c:pt idx="1414">
                  <c:v>23235.419922000001</c:v>
                </c:pt>
                <c:pt idx="1415">
                  <c:v>23476.050781000002</c:v>
                </c:pt>
                <c:pt idx="1416">
                  <c:v>23275.529297000001</c:v>
                </c:pt>
                <c:pt idx="1417">
                  <c:v>23459.050781000002</c:v>
                </c:pt>
                <c:pt idx="1418">
                  <c:v>23767.779297000001</c:v>
                </c:pt>
                <c:pt idx="1419">
                  <c:v>23980.650390999999</c:v>
                </c:pt>
                <c:pt idx="1420">
                  <c:v>24242.859375</c:v>
                </c:pt>
                <c:pt idx="1421">
                  <c:v>24193.349609000001</c:v>
                </c:pt>
                <c:pt idx="1422">
                  <c:v>24119.130859000001</c:v>
                </c:pt>
                <c:pt idx="1423">
                  <c:v>24649.679688</c:v>
                </c:pt>
                <c:pt idx="1424">
                  <c:v>24667.089843999998</c:v>
                </c:pt>
                <c:pt idx="1425">
                  <c:v>24158.539063</c:v>
                </c:pt>
                <c:pt idx="1426">
                  <c:v>24386.789063</c:v>
                </c:pt>
                <c:pt idx="1427">
                  <c:v>24542.259765999999</c:v>
                </c:pt>
                <c:pt idx="1428">
                  <c:v>24569.539063</c:v>
                </c:pt>
                <c:pt idx="1429">
                  <c:v>24754.419922000001</c:v>
                </c:pt>
                <c:pt idx="1430">
                  <c:v>24786.130859000001</c:v>
                </c:pt>
                <c:pt idx="1431">
                  <c:v>24918.779297000001</c:v>
                </c:pt>
                <c:pt idx="1432">
                  <c:v>24787.189452999999</c:v>
                </c:pt>
                <c:pt idx="1433">
                  <c:v>24708.800781000002</c:v>
                </c:pt>
                <c:pt idx="1434">
                  <c:v>24586.599609000001</c:v>
                </c:pt>
                <c:pt idx="1435">
                  <c:v>24107.419922000001</c:v>
                </c:pt>
                <c:pt idx="1436">
                  <c:v>24460.009765999999</c:v>
                </c:pt>
                <c:pt idx="1437">
                  <c:v>24939.730468999998</c:v>
                </c:pt>
                <c:pt idx="1438">
                  <c:v>24886.140625</c:v>
                </c:pt>
                <c:pt idx="1439">
                  <c:v>25695.919922000001</c:v>
                </c:pt>
                <c:pt idx="1440">
                  <c:v>25712.970702999999</c:v>
                </c:pt>
                <c:pt idx="1441">
                  <c:v>26016.169922000001</c:v>
                </c:pt>
                <c:pt idx="1442">
                  <c:v>26301.480468999998</c:v>
                </c:pt>
                <c:pt idx="1443">
                  <c:v>26226.980468999998</c:v>
                </c:pt>
                <c:pt idx="1444">
                  <c:v>26169.380859000001</c:v>
                </c:pt>
                <c:pt idx="1445">
                  <c:v>26156.859375</c:v>
                </c:pt>
                <c:pt idx="1446">
                  <c:v>26381.669922000001</c:v>
                </c:pt>
                <c:pt idx="1447">
                  <c:v>26415.089843999998</c:v>
                </c:pt>
                <c:pt idx="1448">
                  <c:v>26544.289063</c:v>
                </c:pt>
                <c:pt idx="1449">
                  <c:v>26356.970702999999</c:v>
                </c:pt>
                <c:pt idx="1450">
                  <c:v>26451.539063</c:v>
                </c:pt>
                <c:pt idx="1451">
                  <c:v>26486.199218999998</c:v>
                </c:pt>
                <c:pt idx="1452">
                  <c:v>26588.199218999998</c:v>
                </c:pt>
                <c:pt idx="1453">
                  <c:v>26669.75</c:v>
                </c:pt>
                <c:pt idx="1454">
                  <c:v>26819.449218999998</c:v>
                </c:pt>
                <c:pt idx="1455">
                  <c:v>26894.679688</c:v>
                </c:pt>
                <c:pt idx="1456">
                  <c:v>26341.490234000001</c:v>
                </c:pt>
                <c:pt idx="1457">
                  <c:v>26567.679688</c:v>
                </c:pt>
                <c:pt idx="1458">
                  <c:v>26532.580077999999</c:v>
                </c:pt>
                <c:pt idx="1459">
                  <c:v>26728.5</c:v>
                </c:pt>
                <c:pt idx="1460">
                  <c:v>26835.919922000001</c:v>
                </c:pt>
                <c:pt idx="1461">
                  <c:v>26506.849609000001</c:v>
                </c:pt>
                <c:pt idx="1462">
                  <c:v>26304.560547000001</c:v>
                </c:pt>
                <c:pt idx="1463">
                  <c:v>26502.839843999998</c:v>
                </c:pt>
                <c:pt idx="1464">
                  <c:v>26410.589843999998</c:v>
                </c:pt>
                <c:pt idx="1465">
                  <c:v>26505.869140999999</c:v>
                </c:pt>
                <c:pt idx="1466">
                  <c:v>26389.519531000002</c:v>
                </c:pt>
                <c:pt idx="1467">
                  <c:v>26207.289063</c:v>
                </c:pt>
                <c:pt idx="1468">
                  <c:v>26460.289063</c:v>
                </c:pt>
                <c:pt idx="1469">
                  <c:v>26678.380859000001</c:v>
                </c:pt>
                <c:pt idx="1470">
                  <c:v>26498.599609000001</c:v>
                </c:pt>
                <c:pt idx="1471">
                  <c:v>26306.679688</c:v>
                </c:pt>
                <c:pt idx="1472">
                  <c:v>26119.25</c:v>
                </c:pt>
                <c:pt idx="1473">
                  <c:v>26343.099609000001</c:v>
                </c:pt>
                <c:pt idx="1474">
                  <c:v>26386.560547000001</c:v>
                </c:pt>
                <c:pt idx="1475">
                  <c:v>26314.630859000001</c:v>
                </c:pt>
                <c:pt idx="1476">
                  <c:v>26568.490234000001</c:v>
                </c:pt>
                <c:pt idx="1477">
                  <c:v>27147.109375</c:v>
                </c:pt>
                <c:pt idx="1478">
                  <c:v>27231.130859000001</c:v>
                </c:pt>
                <c:pt idx="1479">
                  <c:v>27472.810547000001</c:v>
                </c:pt>
                <c:pt idx="1480">
                  <c:v>27649.859375</c:v>
                </c:pt>
                <c:pt idx="1481">
                  <c:v>27692.300781000002</c:v>
                </c:pt>
                <c:pt idx="1482">
                  <c:v>27548.519531000002</c:v>
                </c:pt>
                <c:pt idx="1483">
                  <c:v>27878.220702999999</c:v>
                </c:pt>
                <c:pt idx="1484">
                  <c:v>27908.220702999999</c:v>
                </c:pt>
                <c:pt idx="1485">
                  <c:v>28276.75</c:v>
                </c:pt>
                <c:pt idx="1486">
                  <c:v>28235.599609000001</c:v>
                </c:pt>
                <c:pt idx="1487">
                  <c:v>28496.859375</c:v>
                </c:pt>
                <c:pt idx="1488">
                  <c:v>28573.859375</c:v>
                </c:pt>
                <c:pt idx="1489">
                  <c:v>28862.769531000002</c:v>
                </c:pt>
                <c:pt idx="1490">
                  <c:v>29642.279297000001</c:v>
                </c:pt>
                <c:pt idx="1491">
                  <c:v>29962.470702999999</c:v>
                </c:pt>
                <c:pt idx="1492">
                  <c:v>29927.759765999999</c:v>
                </c:pt>
                <c:pt idx="1493">
                  <c:v>29447.849609000001</c:v>
                </c:pt>
                <c:pt idx="1494">
                  <c:v>30159.009765999999</c:v>
                </c:pt>
                <c:pt idx="1495">
                  <c:v>29391.259765999999</c:v>
                </c:pt>
                <c:pt idx="1496">
                  <c:v>29297.529297000001</c:v>
                </c:pt>
                <c:pt idx="1497">
                  <c:v>28550.769531000002</c:v>
                </c:pt>
                <c:pt idx="1498">
                  <c:v>28283.710938</c:v>
                </c:pt>
                <c:pt idx="1499">
                  <c:v>28892.859375</c:v>
                </c:pt>
                <c:pt idx="1500">
                  <c:v>29248.699218999998</c:v>
                </c:pt>
                <c:pt idx="1501">
                  <c:v>29307.460938</c:v>
                </c:pt>
                <c:pt idx="1502">
                  <c:v>29113.5</c:v>
                </c:pt>
                <c:pt idx="1503">
                  <c:v>29288.679688</c:v>
                </c:pt>
                <c:pt idx="1504">
                  <c:v>29319.470702999999</c:v>
                </c:pt>
                <c:pt idx="1505">
                  <c:v>29476.189452999999</c:v>
                </c:pt>
                <c:pt idx="1506">
                  <c:v>30038.720702999999</c:v>
                </c:pt>
                <c:pt idx="1507">
                  <c:v>30173.570313</c:v>
                </c:pt>
                <c:pt idx="1508">
                  <c:v>30746.660156000002</c:v>
                </c:pt>
                <c:pt idx="1509">
                  <c:v>31084.939452999999</c:v>
                </c:pt>
                <c:pt idx="1510">
                  <c:v>30595.269531000002</c:v>
                </c:pt>
                <c:pt idx="1511">
                  <c:v>30644.730468999998</c:v>
                </c:pt>
                <c:pt idx="1512">
                  <c:v>30319.830077999999</c:v>
                </c:pt>
                <c:pt idx="1513">
                  <c:v>30632.640625</c:v>
                </c:pt>
                <c:pt idx="1514">
                  <c:v>29718.240234000001</c:v>
                </c:pt>
                <c:pt idx="1515">
                  <c:v>30074.169922000001</c:v>
                </c:pt>
                <c:pt idx="1516">
                  <c:v>28980.210938</c:v>
                </c:pt>
                <c:pt idx="1517">
                  <c:v>29452.570313</c:v>
                </c:pt>
                <c:pt idx="1518">
                  <c:v>29095.859375</c:v>
                </c:pt>
                <c:pt idx="1519">
                  <c:v>29880.419922000001</c:v>
                </c:pt>
                <c:pt idx="1520">
                  <c:v>29236.789063</c:v>
                </c:pt>
                <c:pt idx="1521">
                  <c:v>29098.289063</c:v>
                </c:pt>
                <c:pt idx="1522">
                  <c:v>28540.830077999999</c:v>
                </c:pt>
                <c:pt idx="1523">
                  <c:v>28773.230468999998</c:v>
                </c:pt>
                <c:pt idx="1524">
                  <c:v>28907.519531000002</c:v>
                </c:pt>
                <c:pt idx="1525">
                  <c:v>29385.609375</c:v>
                </c:pt>
                <c:pt idx="1526">
                  <c:v>28739.720702999999</c:v>
                </c:pt>
                <c:pt idx="1527">
                  <c:v>28833.759765999999</c:v>
                </c:pt>
                <c:pt idx="1528">
                  <c:v>29027.689452999999</c:v>
                </c:pt>
                <c:pt idx="1529">
                  <c:v>29034.119140999999</c:v>
                </c:pt>
                <c:pt idx="1530">
                  <c:v>29405.720702999999</c:v>
                </c:pt>
                <c:pt idx="1531">
                  <c:v>28990.939452999999</c:v>
                </c:pt>
                <c:pt idx="1532">
                  <c:v>28885.339843999998</c:v>
                </c:pt>
                <c:pt idx="1533">
                  <c:v>28497.380859000001</c:v>
                </c:pt>
                <c:pt idx="1534">
                  <c:v>27918.140625</c:v>
                </c:pt>
                <c:pt idx="1535">
                  <c:v>27899.609375</c:v>
                </c:pt>
                <c:pt idx="1536">
                  <c:v>28336.429688</c:v>
                </c:pt>
                <c:pt idx="1537">
                  <c:v>28338.300781000002</c:v>
                </c:pt>
                <c:pt idx="1538">
                  <c:v>28577.5</c:v>
                </c:pt>
                <c:pt idx="1539">
                  <c:v>28378.349609000001</c:v>
                </c:pt>
                <c:pt idx="1540">
                  <c:v>28938.740234000001</c:v>
                </c:pt>
                <c:pt idx="1541">
                  <c:v>28674.800781000002</c:v>
                </c:pt>
                <c:pt idx="1542">
                  <c:v>29008.070313</c:v>
                </c:pt>
                <c:pt idx="1543">
                  <c:v>28698.800781000002</c:v>
                </c:pt>
                <c:pt idx="1544">
                  <c:v>28453.279297000001</c:v>
                </c:pt>
                <c:pt idx="1545">
                  <c:v>28497.25</c:v>
                </c:pt>
                <c:pt idx="1546">
                  <c:v>28900.830077999999</c:v>
                </c:pt>
                <c:pt idx="1547">
                  <c:v>28793.140625</c:v>
                </c:pt>
                <c:pt idx="1548">
                  <c:v>28969.710938</c:v>
                </c:pt>
                <c:pt idx="1549">
                  <c:v>29106.150390999999</c:v>
                </c:pt>
                <c:pt idx="1550">
                  <c:v>29135.730468999998</c:v>
                </c:pt>
                <c:pt idx="1551">
                  <c:v>28621.919922000001</c:v>
                </c:pt>
                <c:pt idx="1552">
                  <c:v>28755.339843999998</c:v>
                </c:pt>
                <c:pt idx="1553">
                  <c:v>29078.75</c:v>
                </c:pt>
                <c:pt idx="1554">
                  <c:v>28952.830077999999</c:v>
                </c:pt>
                <c:pt idx="1555">
                  <c:v>28941.539063</c:v>
                </c:pt>
                <c:pt idx="1556">
                  <c:v>29071.339843999998</c:v>
                </c:pt>
                <c:pt idx="1557">
                  <c:v>29303.259765999999</c:v>
                </c:pt>
                <c:pt idx="1558">
                  <c:v>28724.880859000001</c:v>
                </c:pt>
                <c:pt idx="1559">
                  <c:v>28357.539063</c:v>
                </c:pt>
                <c:pt idx="1560">
                  <c:v>28557.140625</c:v>
                </c:pt>
                <c:pt idx="1561">
                  <c:v>28417.980468999998</c:v>
                </c:pt>
                <c:pt idx="1562">
                  <c:v>28637.460938</c:v>
                </c:pt>
                <c:pt idx="1563">
                  <c:v>28610.650390999999</c:v>
                </c:pt>
                <c:pt idx="1564">
                  <c:v>28595.660156000002</c:v>
                </c:pt>
                <c:pt idx="1565">
                  <c:v>28013.810547000001</c:v>
                </c:pt>
                <c:pt idx="1566">
                  <c:v>28231.039063</c:v>
                </c:pt>
                <c:pt idx="1567">
                  <c:v>27718.669922000001</c:v>
                </c:pt>
                <c:pt idx="1568">
                  <c:v>28027.570313</c:v>
                </c:pt>
                <c:pt idx="1569">
                  <c:v>28194.089843999998</c:v>
                </c:pt>
                <c:pt idx="1570">
                  <c:v>28593.810547000001</c:v>
                </c:pt>
                <c:pt idx="1571">
                  <c:v>28450.289063</c:v>
                </c:pt>
                <c:pt idx="1572">
                  <c:v>28458.439452999999</c:v>
                </c:pt>
                <c:pt idx="1573">
                  <c:v>28412.259765999999</c:v>
                </c:pt>
                <c:pt idx="1574">
                  <c:v>28910.859375</c:v>
                </c:pt>
                <c:pt idx="1575">
                  <c:v>29166.009765999999</c:v>
                </c:pt>
                <c:pt idx="1576">
                  <c:v>29113.199218999998</c:v>
                </c:pt>
                <c:pt idx="1577">
                  <c:v>29124.410156000002</c:v>
                </c:pt>
                <c:pt idx="1578">
                  <c:v>29151.800781000002</c:v>
                </c:pt>
                <c:pt idx="1579">
                  <c:v>29468</c:v>
                </c:pt>
                <c:pt idx="1580">
                  <c:v>29297.619140999999</c:v>
                </c:pt>
                <c:pt idx="1581">
                  <c:v>28966.029297000001</c:v>
                </c:pt>
                <c:pt idx="1582">
                  <c:v>28918.099609000001</c:v>
                </c:pt>
                <c:pt idx="1583">
                  <c:v>28787.279297000001</c:v>
                </c:pt>
                <c:pt idx="1584">
                  <c:v>28781.380859000001</c:v>
                </c:pt>
                <c:pt idx="1585">
                  <c:v>28742.630859000001</c:v>
                </c:pt>
                <c:pt idx="1586">
                  <c:v>28738.880859000001</c:v>
                </c:pt>
                <c:pt idx="1587">
                  <c:v>28842.130859000001</c:v>
                </c:pt>
                <c:pt idx="1588">
                  <c:v>28638.529297000001</c:v>
                </c:pt>
                <c:pt idx="1589">
                  <c:v>28436.839843999998</c:v>
                </c:pt>
                <c:pt idx="1590">
                  <c:v>28558.589843999998</c:v>
                </c:pt>
                <c:pt idx="1591">
                  <c:v>28801.269531000002</c:v>
                </c:pt>
                <c:pt idx="1592">
                  <c:v>28489</c:v>
                </c:pt>
                <c:pt idx="1593">
                  <c:v>28309.759765999999</c:v>
                </c:pt>
                <c:pt idx="1594">
                  <c:v>28817.070313</c:v>
                </c:pt>
                <c:pt idx="1595">
                  <c:v>28882.460938</c:v>
                </c:pt>
                <c:pt idx="1596">
                  <c:v>29288.220702999999</c:v>
                </c:pt>
                <c:pt idx="1597">
                  <c:v>29268.300781000002</c:v>
                </c:pt>
                <c:pt idx="1598">
                  <c:v>28994.099609000001</c:v>
                </c:pt>
                <c:pt idx="1599">
                  <c:v>28827.949218999998</c:v>
                </c:pt>
                <c:pt idx="1600">
                  <c:v>28310.419922000001</c:v>
                </c:pt>
                <c:pt idx="1601">
                  <c:v>28143.5</c:v>
                </c:pt>
                <c:pt idx="1602">
                  <c:v>28072.859375</c:v>
                </c:pt>
                <c:pt idx="1603">
                  <c:v>27960.619140999999</c:v>
                </c:pt>
                <c:pt idx="1604">
                  <c:v>27153.130859000001</c:v>
                </c:pt>
                <c:pt idx="1605">
                  <c:v>27344.539063</c:v>
                </c:pt>
                <c:pt idx="1606">
                  <c:v>27515.240234000001</c:v>
                </c:pt>
                <c:pt idx="1607">
                  <c:v>27963.410156000002</c:v>
                </c:pt>
                <c:pt idx="1608">
                  <c:v>27787.460938</c:v>
                </c:pt>
                <c:pt idx="1609">
                  <c:v>27996.269531000002</c:v>
                </c:pt>
                <c:pt idx="1610">
                  <c:v>28004.679688</c:v>
                </c:pt>
                <c:pt idx="1611">
                  <c:v>27489.779297000001</c:v>
                </c:pt>
                <c:pt idx="1612">
                  <c:v>27259.25</c:v>
                </c:pt>
                <c:pt idx="1613">
                  <c:v>27224.580077999999</c:v>
                </c:pt>
                <c:pt idx="1614">
                  <c:v>27723.839843999998</c:v>
                </c:pt>
                <c:pt idx="1615">
                  <c:v>27321.980468999998</c:v>
                </c:pt>
                <c:pt idx="1616">
                  <c:v>26192.320313</c:v>
                </c:pt>
                <c:pt idx="1617">
                  <c:v>25086.429688</c:v>
                </c:pt>
                <c:pt idx="1618">
                  <c:v>25473.880859000001</c:v>
                </c:pt>
                <c:pt idx="1619">
                  <c:v>26315.320313</c:v>
                </c:pt>
                <c:pt idx="1620">
                  <c:v>25961.029297000001</c:v>
                </c:pt>
                <c:pt idx="1621">
                  <c:v>26235.800781000002</c:v>
                </c:pt>
                <c:pt idx="1622">
                  <c:v>26194.820313</c:v>
                </c:pt>
                <c:pt idx="1623">
                  <c:v>26426.550781000002</c:v>
                </c:pt>
                <c:pt idx="1624">
                  <c:v>26204.689452999999</c:v>
                </c:pt>
                <c:pt idx="1625">
                  <c:v>26179.400390999999</c:v>
                </c:pt>
                <c:pt idx="1626">
                  <c:v>26283.400390999999</c:v>
                </c:pt>
                <c:pt idx="1627">
                  <c:v>26605.619140999999</c:v>
                </c:pt>
                <c:pt idx="1628">
                  <c:v>26660.160156000002</c:v>
                </c:pt>
                <c:pt idx="1629">
                  <c:v>26517.820313</c:v>
                </c:pt>
                <c:pt idx="1630">
                  <c:v>26391.619140999999</c:v>
                </c:pt>
                <c:pt idx="1631">
                  <c:v>26181.460938</c:v>
                </c:pt>
                <c:pt idx="1632">
                  <c:v>25745.869140999999</c:v>
                </c:pt>
                <c:pt idx="1633">
                  <c:v>25867.009765999999</c:v>
                </c:pt>
                <c:pt idx="1634">
                  <c:v>25316.330077999999</c:v>
                </c:pt>
                <c:pt idx="1635">
                  <c:v>24849.720702999999</c:v>
                </c:pt>
                <c:pt idx="1636">
                  <c:v>25109.589843999998</c:v>
                </c:pt>
                <c:pt idx="1637">
                  <c:v>25727.919922000001</c:v>
                </c:pt>
                <c:pt idx="1638">
                  <c:v>25693.949218999998</c:v>
                </c:pt>
                <c:pt idx="1639">
                  <c:v>25415.689452999999</c:v>
                </c:pt>
                <c:pt idx="1640">
                  <c:v>25407.890625</c:v>
                </c:pt>
                <c:pt idx="1641">
                  <c:v>25539.539063</c:v>
                </c:pt>
                <c:pt idx="1642">
                  <c:v>25878.990234000001</c:v>
                </c:pt>
                <c:pt idx="1643">
                  <c:v>26028.289063</c:v>
                </c:pt>
                <c:pt idx="1644">
                  <c:v>26090.429688</c:v>
                </c:pt>
                <c:pt idx="1645">
                  <c:v>25901.990234000001</c:v>
                </c:pt>
                <c:pt idx="1646">
                  <c:v>26163.630859000001</c:v>
                </c:pt>
                <c:pt idx="1647">
                  <c:v>26353.630859000001</c:v>
                </c:pt>
                <c:pt idx="1648">
                  <c:v>26320.929688</c:v>
                </c:pt>
                <c:pt idx="1649">
                  <c:v>25716</c:v>
                </c:pt>
                <c:pt idx="1650">
                  <c:v>26205.910156000002</c:v>
                </c:pt>
                <c:pt idx="1651">
                  <c:v>25813.810547000001</c:v>
                </c:pt>
                <c:pt idx="1652">
                  <c:v>25502.230468999998</c:v>
                </c:pt>
                <c:pt idx="1653">
                  <c:v>25033.210938</c:v>
                </c:pt>
                <c:pt idx="1654">
                  <c:v>24667.849609000001</c:v>
                </c:pt>
                <c:pt idx="1655">
                  <c:v>24920.759765999999</c:v>
                </c:pt>
                <c:pt idx="1656">
                  <c:v>24099.140625</c:v>
                </c:pt>
                <c:pt idx="1657">
                  <c:v>24221.539063</c:v>
                </c:pt>
                <c:pt idx="1658">
                  <c:v>24510.980468999998</c:v>
                </c:pt>
                <c:pt idx="1659">
                  <c:v>24192.160156000002</c:v>
                </c:pt>
                <c:pt idx="1660">
                  <c:v>24208.779297000001</c:v>
                </c:pt>
                <c:pt idx="1661">
                  <c:v>24500.390625</c:v>
                </c:pt>
                <c:pt idx="1662">
                  <c:v>24663.5</c:v>
                </c:pt>
                <c:pt idx="1663">
                  <c:v>24575.640625</c:v>
                </c:pt>
                <c:pt idx="1664">
                  <c:v>24036.369140999999</c:v>
                </c:pt>
                <c:pt idx="1665">
                  <c:v>24104.150390999999</c:v>
                </c:pt>
                <c:pt idx="1666">
                  <c:v>23966.490234000001</c:v>
                </c:pt>
                <c:pt idx="1667">
                  <c:v>24701.730468999998</c:v>
                </c:pt>
                <c:pt idx="1668">
                  <c:v>24837.849609000001</c:v>
                </c:pt>
                <c:pt idx="1669">
                  <c:v>25325.089843999998</c:v>
                </c:pt>
                <c:pt idx="1670">
                  <c:v>24962.589843999998</c:v>
                </c:pt>
                <c:pt idx="1671">
                  <c:v>25330.960938</c:v>
                </c:pt>
                <c:pt idx="1672">
                  <c:v>25409.75</c:v>
                </c:pt>
                <c:pt idx="1673">
                  <c:v>25787.210938</c:v>
                </c:pt>
                <c:pt idx="1674">
                  <c:v>26136.019531000002</c:v>
                </c:pt>
                <c:pt idx="1675">
                  <c:v>26017.529297000001</c:v>
                </c:pt>
                <c:pt idx="1676">
                  <c:v>26126.929688</c:v>
                </c:pt>
                <c:pt idx="1677">
                  <c:v>26132.029297000001</c:v>
                </c:pt>
                <c:pt idx="1678">
                  <c:v>26038.269531000002</c:v>
                </c:pt>
                <c:pt idx="1679">
                  <c:v>25628.740234000001</c:v>
                </c:pt>
                <c:pt idx="1680">
                  <c:v>25555.730468999998</c:v>
                </c:pt>
                <c:pt idx="1681">
                  <c:v>25377.240234000001</c:v>
                </c:pt>
                <c:pt idx="1682">
                  <c:v>25154.320313</c:v>
                </c:pt>
                <c:pt idx="1683">
                  <c:v>25099.669922000001</c:v>
                </c:pt>
                <c:pt idx="1684">
                  <c:v>25024.75</c:v>
                </c:pt>
                <c:pt idx="1685">
                  <c:v>25225.189452999999</c:v>
                </c:pt>
                <c:pt idx="1686">
                  <c:v>24870.509765999999</c:v>
                </c:pt>
                <c:pt idx="1687">
                  <c:v>24763.769531000002</c:v>
                </c:pt>
                <c:pt idx="1688">
                  <c:v>24813.130859000001</c:v>
                </c:pt>
                <c:pt idx="1689">
                  <c:v>24996.140625</c:v>
                </c:pt>
                <c:pt idx="1690">
                  <c:v>25247.990234000001</c:v>
                </c:pt>
                <c:pt idx="1691">
                  <c:v>25327.970702999999</c:v>
                </c:pt>
                <c:pt idx="1692">
                  <c:v>25390.910156000002</c:v>
                </c:pt>
                <c:pt idx="1693">
                  <c:v>25713.779297000001</c:v>
                </c:pt>
                <c:pt idx="1694">
                  <c:v>25650.080077999999</c:v>
                </c:pt>
                <c:pt idx="1695">
                  <c:v>25319.720702999999</c:v>
                </c:pt>
                <c:pt idx="1696">
                  <c:v>25049.970702999999</c:v>
                </c:pt>
                <c:pt idx="1697">
                  <c:v>24951.339843999998</c:v>
                </c:pt>
                <c:pt idx="1698">
                  <c:v>24651.580077999999</c:v>
                </c:pt>
                <c:pt idx="1699">
                  <c:v>24685.5</c:v>
                </c:pt>
                <c:pt idx="1700">
                  <c:v>24740.160156000002</c:v>
                </c:pt>
                <c:pt idx="1701">
                  <c:v>24080.519531000002</c:v>
                </c:pt>
                <c:pt idx="1702">
                  <c:v>23852.240234000001</c:v>
                </c:pt>
                <c:pt idx="1703">
                  <c:v>23475.259765999999</c:v>
                </c:pt>
                <c:pt idx="1704">
                  <c:v>23658.919922000001</c:v>
                </c:pt>
                <c:pt idx="1705">
                  <c:v>23788.929688</c:v>
                </c:pt>
                <c:pt idx="1706">
                  <c:v>23766.689452999999</c:v>
                </c:pt>
                <c:pt idx="1707">
                  <c:v>23349.380859000001</c:v>
                </c:pt>
                <c:pt idx="1708">
                  <c:v>23983.660156000002</c:v>
                </c:pt>
                <c:pt idx="1709">
                  <c:v>23996.869140999999</c:v>
                </c:pt>
                <c:pt idx="1710">
                  <c:v>24254.859375</c:v>
                </c:pt>
                <c:pt idx="1711">
                  <c:v>23995.720702999999</c:v>
                </c:pt>
                <c:pt idx="1712">
                  <c:v>23954.580077999999</c:v>
                </c:pt>
                <c:pt idx="1713">
                  <c:v>23635.949218999998</c:v>
                </c:pt>
                <c:pt idx="1714">
                  <c:v>23420.759765999999</c:v>
                </c:pt>
                <c:pt idx="1715">
                  <c:v>23475.5</c:v>
                </c:pt>
                <c:pt idx="1716">
                  <c:v>23192.630859000001</c:v>
                </c:pt>
                <c:pt idx="1717">
                  <c:v>22744.859375</c:v>
                </c:pt>
                <c:pt idx="1718">
                  <c:v>22971.330077999999</c:v>
                </c:pt>
                <c:pt idx="1719">
                  <c:v>23102.330077999999</c:v>
                </c:pt>
                <c:pt idx="1720">
                  <c:v>23193.640625</c:v>
                </c:pt>
                <c:pt idx="1721">
                  <c:v>23223.759765999999</c:v>
                </c:pt>
                <c:pt idx="1722">
                  <c:v>23280.560547000001</c:v>
                </c:pt>
                <c:pt idx="1723">
                  <c:v>23086.539063</c:v>
                </c:pt>
                <c:pt idx="1724">
                  <c:v>23112.009765999999</c:v>
                </c:pt>
                <c:pt idx="1725">
                  <c:v>23397.669922000001</c:v>
                </c:pt>
                <c:pt idx="1726">
                  <c:v>23274.75</c:v>
                </c:pt>
                <c:pt idx="1727">
                  <c:v>23289.839843999998</c:v>
                </c:pt>
                <c:pt idx="1728">
                  <c:v>22907.25</c:v>
                </c:pt>
                <c:pt idx="1729">
                  <c:v>23072.859375</c:v>
                </c:pt>
                <c:pt idx="1730">
                  <c:v>23493.380859000001</c:v>
                </c:pt>
                <c:pt idx="1731">
                  <c:v>23746.539063</c:v>
                </c:pt>
                <c:pt idx="1732">
                  <c:v>23739.060547000001</c:v>
                </c:pt>
                <c:pt idx="1733">
                  <c:v>24402.169922000001</c:v>
                </c:pt>
                <c:pt idx="1734">
                  <c:v>24429.769531000002</c:v>
                </c:pt>
                <c:pt idx="1735">
                  <c:v>24383.320313</c:v>
                </c:pt>
                <c:pt idx="1736">
                  <c:v>24218.029297000001</c:v>
                </c:pt>
                <c:pt idx="1737">
                  <c:v>24112.779297000001</c:v>
                </c:pt>
                <c:pt idx="1738">
                  <c:v>24127.849609000001</c:v>
                </c:pt>
                <c:pt idx="1739">
                  <c:v>24952.349609000001</c:v>
                </c:pt>
                <c:pt idx="1740">
                  <c:v>24965.550781000002</c:v>
                </c:pt>
                <c:pt idx="1741">
                  <c:v>24656.460938</c:v>
                </c:pt>
                <c:pt idx="1742">
                  <c:v>24243.609375</c:v>
                </c:pt>
                <c:pt idx="1743">
                  <c:v>24289.900390999999</c:v>
                </c:pt>
                <c:pt idx="1744">
                  <c:v>23807</c:v>
                </c:pt>
                <c:pt idx="1745">
                  <c:v>23550.080077999999</c:v>
                </c:pt>
                <c:pt idx="1746">
                  <c:v>23802.259765999999</c:v>
                </c:pt>
                <c:pt idx="1747">
                  <c:v>24573.289063</c:v>
                </c:pt>
                <c:pt idx="1748">
                  <c:v>24579.550781000002</c:v>
                </c:pt>
                <c:pt idx="1749">
                  <c:v>24329.490234000001</c:v>
                </c:pt>
                <c:pt idx="1750">
                  <c:v>24829.990234000001</c:v>
                </c:pt>
                <c:pt idx="1751">
                  <c:v>24924.349609000001</c:v>
                </c:pt>
                <c:pt idx="1752">
                  <c:v>24906.660156000002</c:v>
                </c:pt>
                <c:pt idx="1753">
                  <c:v>24556.570313</c:v>
                </c:pt>
                <c:pt idx="1754">
                  <c:v>24355.710938</c:v>
                </c:pt>
                <c:pt idx="1755">
                  <c:v>24718.900390999999</c:v>
                </c:pt>
                <c:pt idx="1756">
                  <c:v>24792.769531000002</c:v>
                </c:pt>
                <c:pt idx="1757">
                  <c:v>24327.710938</c:v>
                </c:pt>
                <c:pt idx="1758">
                  <c:v>24170.070313</c:v>
                </c:pt>
                <c:pt idx="1759">
                  <c:v>23520</c:v>
                </c:pt>
                <c:pt idx="1760">
                  <c:v>23660.279297000001</c:v>
                </c:pt>
                <c:pt idx="1761">
                  <c:v>22901.560547000001</c:v>
                </c:pt>
                <c:pt idx="1762">
                  <c:v>22767.179688</c:v>
                </c:pt>
                <c:pt idx="1763">
                  <c:v>22713.019531000002</c:v>
                </c:pt>
                <c:pt idx="1764">
                  <c:v>22761.710938</c:v>
                </c:pt>
                <c:pt idx="1765">
                  <c:v>22343.919922000001</c:v>
                </c:pt>
                <c:pt idx="1766">
                  <c:v>22467.339843999998</c:v>
                </c:pt>
                <c:pt idx="1767">
                  <c:v>21905.289063</c:v>
                </c:pt>
                <c:pt idx="1768">
                  <c:v>21057.630859000001</c:v>
                </c:pt>
                <c:pt idx="1769">
                  <c:v>20765.869140999999</c:v>
                </c:pt>
                <c:pt idx="1770">
                  <c:v>20627.710938</c:v>
                </c:pt>
                <c:pt idx="1771">
                  <c:v>20890.259765999999</c:v>
                </c:pt>
                <c:pt idx="1772">
                  <c:v>20553.789063</c:v>
                </c:pt>
                <c:pt idx="1773">
                  <c:v>19531.660156000002</c:v>
                </c:pt>
                <c:pt idx="1774">
                  <c:v>18415.080077999999</c:v>
                </c:pt>
                <c:pt idx="1775">
                  <c:v>20087.5</c:v>
                </c:pt>
                <c:pt idx="1776">
                  <c:v>21501.230468999998</c:v>
                </c:pt>
                <c:pt idx="1777">
                  <c:v>21412.400390999999</c:v>
                </c:pt>
                <c:pt idx="1778">
                  <c:v>21221.339843999998</c:v>
                </c:pt>
                <c:pt idx="1779">
                  <c:v>21889.279297000001</c:v>
                </c:pt>
                <c:pt idx="1780">
                  <c:v>22154.080077999999</c:v>
                </c:pt>
                <c:pt idx="1781">
                  <c:v>21945.949218999998</c:v>
                </c:pt>
                <c:pt idx="1782">
                  <c:v>21404.880859000001</c:v>
                </c:pt>
                <c:pt idx="1783">
                  <c:v>21684.970702999999</c:v>
                </c:pt>
                <c:pt idx="1784">
                  <c:v>21927.630859000001</c:v>
                </c:pt>
                <c:pt idx="1785">
                  <c:v>22232.029297000001</c:v>
                </c:pt>
                <c:pt idx="1786">
                  <c:v>21996.849609000001</c:v>
                </c:pt>
                <c:pt idx="1787">
                  <c:v>22039.550781000002</c:v>
                </c:pt>
                <c:pt idx="1788">
                  <c:v>22502.310547000001</c:v>
                </c:pt>
                <c:pt idx="1789">
                  <c:v>22080.519531000002</c:v>
                </c:pt>
                <c:pt idx="1790">
                  <c:v>21808.980468999998</c:v>
                </c:pt>
                <c:pt idx="1791">
                  <c:v>21872.009765999999</c:v>
                </c:pt>
                <c:pt idx="1792">
                  <c:v>21208.300781000002</c:v>
                </c:pt>
                <c:pt idx="1793">
                  <c:v>21319.130859000001</c:v>
                </c:pt>
                <c:pt idx="1794">
                  <c:v>21374.369140999999</c:v>
                </c:pt>
                <c:pt idx="1795">
                  <c:v>21518.080077999999</c:v>
                </c:pt>
                <c:pt idx="1796">
                  <c:v>21027.759765999999</c:v>
                </c:pt>
                <c:pt idx="1797">
                  <c:v>20944.669922000001</c:v>
                </c:pt>
                <c:pt idx="1798">
                  <c:v>20682.220702999999</c:v>
                </c:pt>
                <c:pt idx="1799">
                  <c:v>20638.519531000002</c:v>
                </c:pt>
                <c:pt idx="1800">
                  <c:v>19869.339843999998</c:v>
                </c:pt>
                <c:pt idx="1801">
                  <c:v>19934.710938</c:v>
                </c:pt>
                <c:pt idx="1802">
                  <c:v>19946.359375</c:v>
                </c:pt>
                <c:pt idx="1803">
                  <c:v>20276.169922000001</c:v>
                </c:pt>
                <c:pt idx="1804">
                  <c:v>21089.390625</c:v>
                </c:pt>
                <c:pt idx="1805">
                  <c:v>21101.890625</c:v>
                </c:pt>
                <c:pt idx="1806">
                  <c:v>20869.519531000002</c:v>
                </c:pt>
                <c:pt idx="1807">
                  <c:v>20793.400390999999</c:v>
                </c:pt>
                <c:pt idx="1808">
                  <c:v>20001.960938</c:v>
                </c:pt>
                <c:pt idx="1809">
                  <c:v>19633.689452999999</c:v>
                </c:pt>
                <c:pt idx="1810">
                  <c:v>19824.570313</c:v>
                </c:pt>
                <c:pt idx="1811">
                  <c:v>19380.339843999998</c:v>
                </c:pt>
                <c:pt idx="1812">
                  <c:v>19898.769531000002</c:v>
                </c:pt>
                <c:pt idx="1813">
                  <c:v>19950.210938</c:v>
                </c:pt>
                <c:pt idx="1814">
                  <c:v>20602.519531000002</c:v>
                </c:pt>
                <c:pt idx="1815">
                  <c:v>20644.279297000001</c:v>
                </c:pt>
                <c:pt idx="1816">
                  <c:v>20120.679688</c:v>
                </c:pt>
                <c:pt idx="1817">
                  <c:v>20717.240234000001</c:v>
                </c:pt>
                <c:pt idx="1818">
                  <c:v>20470.060547000001</c:v>
                </c:pt>
                <c:pt idx="1819">
                  <c:v>20112.099609000001</c:v>
                </c:pt>
                <c:pt idx="1820">
                  <c:v>20171.269531000002</c:v>
                </c:pt>
                <c:pt idx="1821">
                  <c:v>20116.199218999998</c:v>
                </c:pt>
                <c:pt idx="1822">
                  <c:v>20697.359375</c:v>
                </c:pt>
                <c:pt idx="1823">
                  <c:v>21123.929688</c:v>
                </c:pt>
                <c:pt idx="1824">
                  <c:v>21415.199218999998</c:v>
                </c:pt>
                <c:pt idx="1825">
                  <c:v>21294.939452999999</c:v>
                </c:pt>
                <c:pt idx="1826">
                  <c:v>21082.130859000001</c:v>
                </c:pt>
                <c:pt idx="1827">
                  <c:v>21653.900390999999</c:v>
                </c:pt>
                <c:pt idx="1828">
                  <c:v>21531.669922000001</c:v>
                </c:pt>
                <c:pt idx="1829">
                  <c:v>22014.589843999998</c:v>
                </c:pt>
                <c:pt idx="1830">
                  <c:v>21869.050781000002</c:v>
                </c:pt>
                <c:pt idx="1831">
                  <c:v>21806.179688</c:v>
                </c:pt>
                <c:pt idx="1832">
                  <c:v>21067.580077999999</c:v>
                </c:pt>
                <c:pt idx="1833">
                  <c:v>21067.990234000001</c:v>
                </c:pt>
                <c:pt idx="1834">
                  <c:v>21308.210938</c:v>
                </c:pt>
                <c:pt idx="1835">
                  <c:v>20845.429688</c:v>
                </c:pt>
                <c:pt idx="1836">
                  <c:v>21075</c:v>
                </c:pt>
                <c:pt idx="1837">
                  <c:v>21163.910156000002</c:v>
                </c:pt>
                <c:pt idx="1838">
                  <c:v>21559.589843999998</c:v>
                </c:pt>
                <c:pt idx="1839">
                  <c:v>21008.339843999998</c:v>
                </c:pt>
                <c:pt idx="1840">
                  <c:v>21273.869140999999</c:v>
                </c:pt>
                <c:pt idx="1841">
                  <c:v>21719.060547000001</c:v>
                </c:pt>
                <c:pt idx="1842">
                  <c:v>22229.519531000002</c:v>
                </c:pt>
                <c:pt idx="1843">
                  <c:v>22418.970702999999</c:v>
                </c:pt>
                <c:pt idx="1844">
                  <c:v>21996.890625</c:v>
                </c:pt>
                <c:pt idx="1845">
                  <c:v>21859.789063</c:v>
                </c:pt>
                <c:pt idx="1846">
                  <c:v>21830.349609000001</c:v>
                </c:pt>
                <c:pt idx="1847">
                  <c:v>21853.070313</c:v>
                </c:pt>
                <c:pt idx="1848">
                  <c:v>21586.660156000002</c:v>
                </c:pt>
                <c:pt idx="1849">
                  <c:v>21643.580077999999</c:v>
                </c:pt>
                <c:pt idx="1850">
                  <c:v>21725.779297000001</c:v>
                </c:pt>
                <c:pt idx="1851">
                  <c:v>21124.199218999998</c:v>
                </c:pt>
                <c:pt idx="1852">
                  <c:v>20844.740234000001</c:v>
                </c:pt>
                <c:pt idx="1853">
                  <c:v>20797.949218999998</c:v>
                </c:pt>
                <c:pt idx="1854">
                  <c:v>20751.210938</c:v>
                </c:pt>
                <c:pt idx="1855">
                  <c:v>20297.720702999999</c:v>
                </c:pt>
                <c:pt idx="1856">
                  <c:v>20846.179688</c:v>
                </c:pt>
                <c:pt idx="1857">
                  <c:v>20661.060547000001</c:v>
                </c:pt>
                <c:pt idx="1858">
                  <c:v>20890.220702999999</c:v>
                </c:pt>
                <c:pt idx="1859">
                  <c:v>20574.630859000001</c:v>
                </c:pt>
                <c:pt idx="1860">
                  <c:v>20609.140625</c:v>
                </c:pt>
                <c:pt idx="1861">
                  <c:v>20562.939452999999</c:v>
                </c:pt>
                <c:pt idx="1862">
                  <c:v>20905.880859000001</c:v>
                </c:pt>
                <c:pt idx="1863">
                  <c:v>20670.039063</c:v>
                </c:pt>
                <c:pt idx="1864">
                  <c:v>20622.679688</c:v>
                </c:pt>
                <c:pt idx="1865">
                  <c:v>20156.509765999999</c:v>
                </c:pt>
                <c:pt idx="1866">
                  <c:v>20165.839843999998</c:v>
                </c:pt>
                <c:pt idx="1867">
                  <c:v>19689.210938</c:v>
                </c:pt>
                <c:pt idx="1868">
                  <c:v>19767.089843999998</c:v>
                </c:pt>
                <c:pt idx="1869">
                  <c:v>20174.039063</c:v>
                </c:pt>
                <c:pt idx="1870">
                  <c:v>20201.939452999999</c:v>
                </c:pt>
                <c:pt idx="1871">
                  <c:v>20045.769531000002</c:v>
                </c:pt>
                <c:pt idx="1872">
                  <c:v>20003.439452999999</c:v>
                </c:pt>
                <c:pt idx="1873">
                  <c:v>19610.839843999998</c:v>
                </c:pt>
                <c:pt idx="1874">
                  <c:v>20082.429688</c:v>
                </c:pt>
                <c:pt idx="1875">
                  <c:v>20175.619140999999</c:v>
                </c:pt>
                <c:pt idx="1876">
                  <c:v>20040.859375</c:v>
                </c:pt>
                <c:pt idx="1877">
                  <c:v>19830.519531000002</c:v>
                </c:pt>
                <c:pt idx="1878">
                  <c:v>19922.449218999998</c:v>
                </c:pt>
                <c:pt idx="1879">
                  <c:v>19763.910156000002</c:v>
                </c:pt>
                <c:pt idx="1880">
                  <c:v>19773.029297000001</c:v>
                </c:pt>
                <c:pt idx="1881">
                  <c:v>19656.980468999998</c:v>
                </c:pt>
                <c:pt idx="1882">
                  <c:v>19503.25</c:v>
                </c:pt>
                <c:pt idx="1883">
                  <c:v>19268.740234000001</c:v>
                </c:pt>
                <c:pt idx="1884">
                  <c:v>19968.380859000001</c:v>
                </c:pt>
                <c:pt idx="1885">
                  <c:v>20170.039063</c:v>
                </c:pt>
                <c:pt idx="1886">
                  <c:v>20023.220702999999</c:v>
                </c:pt>
                <c:pt idx="1887">
                  <c:v>19949.029297000001</c:v>
                </c:pt>
                <c:pt idx="1888">
                  <c:v>19954.390625</c:v>
                </c:pt>
                <c:pt idx="1889">
                  <c:v>19597.310547000001</c:v>
                </c:pt>
                <c:pt idx="1890">
                  <c:v>19452.089843999998</c:v>
                </c:pt>
                <c:pt idx="1891">
                  <c:v>19225.699218999998</c:v>
                </c:pt>
                <c:pt idx="1892">
                  <c:v>19202.730468999998</c:v>
                </c:pt>
                <c:pt idx="1893">
                  <c:v>19044.300781000002</c:v>
                </c:pt>
                <c:pt idx="1894">
                  <c:v>18854.619140999999</c:v>
                </c:pt>
                <c:pt idx="1895">
                  <c:v>19362.25</c:v>
                </c:pt>
                <c:pt idx="1896">
                  <c:v>19326.859375</c:v>
                </c:pt>
                <c:pt idx="1897">
                  <c:v>18847.099609000001</c:v>
                </c:pt>
                <c:pt idx="1898">
                  <c:v>18930.380859000001</c:v>
                </c:pt>
                <c:pt idx="1899">
                  <c:v>18761.689452999999</c:v>
                </c:pt>
                <c:pt idx="1900">
                  <c:v>18565.970702999999</c:v>
                </c:pt>
                <c:pt idx="1901">
                  <c:v>18781.419922000001</c:v>
                </c:pt>
                <c:pt idx="1902">
                  <c:v>18444.619140999999</c:v>
                </c:pt>
                <c:pt idx="1903">
                  <c:v>18147.949218999998</c:v>
                </c:pt>
                <c:pt idx="1904">
                  <c:v>17933.269531000002</c:v>
                </c:pt>
                <c:pt idx="1905">
                  <c:v>17855.140625</c:v>
                </c:pt>
                <c:pt idx="1906">
                  <c:v>17860.310547000001</c:v>
                </c:pt>
                <c:pt idx="1907">
                  <c:v>17250.880859000001</c:v>
                </c:pt>
                <c:pt idx="1908">
                  <c:v>17165.869140999999</c:v>
                </c:pt>
                <c:pt idx="1909">
                  <c:v>17222.830077999999</c:v>
                </c:pt>
                <c:pt idx="1910">
                  <c:v>17079.509765999999</c:v>
                </c:pt>
                <c:pt idx="1911">
                  <c:v>18087.970702999999</c:v>
                </c:pt>
                <c:pt idx="1912">
                  <c:v>18012.150390999999</c:v>
                </c:pt>
                <c:pt idx="1913">
                  <c:v>17740.050781000002</c:v>
                </c:pt>
                <c:pt idx="1914">
                  <c:v>17216.660156000002</c:v>
                </c:pt>
                <c:pt idx="1915">
                  <c:v>16832.359375</c:v>
                </c:pt>
                <c:pt idx="1916">
                  <c:v>16701.029297000001</c:v>
                </c:pt>
                <c:pt idx="1917">
                  <c:v>16389.109375</c:v>
                </c:pt>
                <c:pt idx="1918">
                  <c:v>16587.689452999999</c:v>
                </c:pt>
                <c:pt idx="1919">
                  <c:v>16612.900390999999</c:v>
                </c:pt>
                <c:pt idx="1920">
                  <c:v>16914.580077999999</c:v>
                </c:pt>
                <c:pt idx="1921">
                  <c:v>16511.279297000001</c:v>
                </c:pt>
                <c:pt idx="1922">
                  <c:v>16280.219727</c:v>
                </c:pt>
                <c:pt idx="1923">
                  <c:v>16211.120117</c:v>
                </c:pt>
                <c:pt idx="1924">
                  <c:v>15180.690430000001</c:v>
                </c:pt>
                <c:pt idx="1925">
                  <c:v>15165.589844</c:v>
                </c:pt>
                <c:pt idx="1926">
                  <c:v>15317.669921999999</c:v>
                </c:pt>
                <c:pt idx="1927">
                  <c:v>15427.940430000001</c:v>
                </c:pt>
                <c:pt idx="1928">
                  <c:v>14863.059569999999</c:v>
                </c:pt>
                <c:pt idx="1929">
                  <c:v>14687.019531</c:v>
                </c:pt>
                <c:pt idx="1930">
                  <c:v>15455.269531</c:v>
                </c:pt>
                <c:pt idx="1931">
                  <c:v>15827.169921999999</c:v>
                </c:pt>
                <c:pt idx="1932">
                  <c:v>15339.490234000001</c:v>
                </c:pt>
                <c:pt idx="1933">
                  <c:v>16161.139648</c:v>
                </c:pt>
                <c:pt idx="1934">
                  <c:v>16595.910156000002</c:v>
                </c:pt>
                <c:pt idx="1935">
                  <c:v>16557.310547000001</c:v>
                </c:pt>
                <c:pt idx="1936">
                  <c:v>16358.519531</c:v>
                </c:pt>
                <c:pt idx="1937">
                  <c:v>16081.040039</c:v>
                </c:pt>
                <c:pt idx="1938">
                  <c:v>17325.660156000002</c:v>
                </c:pt>
                <c:pt idx="1939">
                  <c:v>17619.710938</c:v>
                </c:pt>
                <c:pt idx="1940">
                  <c:v>18343.119140999999</c:v>
                </c:pt>
                <c:pt idx="1941">
                  <c:v>18256.480468999998</c:v>
                </c:pt>
                <c:pt idx="1942">
                  <c:v>18045.660156000002</c:v>
                </c:pt>
                <c:pt idx="1943">
                  <c:v>17992.539063</c:v>
                </c:pt>
                <c:pt idx="1944">
                  <c:v>17655.910156000002</c:v>
                </c:pt>
                <c:pt idx="1945">
                  <c:v>17424.410156000002</c:v>
                </c:pt>
                <c:pt idx="1946">
                  <c:v>17523.810547000001</c:v>
                </c:pt>
                <c:pt idx="1947">
                  <c:v>17660.900390999999</c:v>
                </c:pt>
                <c:pt idx="1948">
                  <c:v>17573.580077999999</c:v>
                </c:pt>
                <c:pt idx="1949">
                  <c:v>17297.939452999999</c:v>
                </c:pt>
                <c:pt idx="1950">
                  <c:v>18204.679688</c:v>
                </c:pt>
                <c:pt idx="1951">
                  <c:v>18597.230468999998</c:v>
                </c:pt>
                <c:pt idx="1952">
                  <c:v>18736.439452999999</c:v>
                </c:pt>
                <c:pt idx="1953">
                  <c:v>18675.349609000001</c:v>
                </c:pt>
                <c:pt idx="1954">
                  <c:v>19518.289063</c:v>
                </c:pt>
                <c:pt idx="1955">
                  <c:v>19441.179688</c:v>
                </c:pt>
                <c:pt idx="1956">
                  <c:v>18814.820313</c:v>
                </c:pt>
                <c:pt idx="1957">
                  <c:v>19450.230468999998</c:v>
                </c:pt>
                <c:pt idx="1958">
                  <c:v>19900.869140999999</c:v>
                </c:pt>
                <c:pt idx="1959">
                  <c:v>19463.630859000001</c:v>
                </c:pt>
                <c:pt idx="1960">
                  <c:v>19596.199218999998</c:v>
                </c:pt>
                <c:pt idx="1961">
                  <c:v>19673.449218999998</c:v>
                </c:pt>
                <c:pt idx="1962">
                  <c:v>19368.589843999998</c:v>
                </c:pt>
                <c:pt idx="1963">
                  <c:v>19450.669922000001</c:v>
                </c:pt>
                <c:pt idx="1964">
                  <c:v>19352.810547000001</c:v>
                </c:pt>
                <c:pt idx="1965">
                  <c:v>19094.800781000002</c:v>
                </c:pt>
                <c:pt idx="1966">
                  <c:v>19160.490234000001</c:v>
                </c:pt>
                <c:pt idx="1967">
                  <c:v>19679.220702999999</c:v>
                </c:pt>
                <c:pt idx="1968">
                  <c:v>19593.060547000001</c:v>
                </c:pt>
                <c:pt idx="1969">
                  <c:v>19898.910156000002</c:v>
                </c:pt>
                <c:pt idx="1970">
                  <c:v>19741.140625</c:v>
                </c:pt>
                <c:pt idx="1971">
                  <c:v>19781.410156000002</c:v>
                </c:pt>
                <c:pt idx="1972">
                  <c:v>20145.289063</c:v>
                </c:pt>
                <c:pt idx="1973">
                  <c:v>20793.109375</c:v>
                </c:pt>
                <c:pt idx="1974">
                  <c:v>21052.169922000001</c:v>
                </c:pt>
                <c:pt idx="1975">
                  <c:v>20991.640625</c:v>
                </c:pt>
                <c:pt idx="1976">
                  <c:v>21388.339843999998</c:v>
                </c:pt>
                <c:pt idx="1977">
                  <c:v>21331.460938</c:v>
                </c:pt>
                <c:pt idx="1978">
                  <c:v>21436.050781000002</c:v>
                </c:pt>
                <c:pt idx="1979">
                  <c:v>21514.099609000001</c:v>
                </c:pt>
                <c:pt idx="1980">
                  <c:v>21738.660156000002</c:v>
                </c:pt>
                <c:pt idx="1981">
                  <c:v>21746.720702999999</c:v>
                </c:pt>
                <c:pt idx="1982">
                  <c:v>21577.640625</c:v>
                </c:pt>
                <c:pt idx="1983">
                  <c:v>21678</c:v>
                </c:pt>
                <c:pt idx="1984">
                  <c:v>21650.980468999998</c:v>
                </c:pt>
                <c:pt idx="1985">
                  <c:v>22044.650390999999</c:v>
                </c:pt>
                <c:pt idx="1986">
                  <c:v>22566.779297000001</c:v>
                </c:pt>
                <c:pt idx="1987">
                  <c:v>22688.900390999999</c:v>
                </c:pt>
                <c:pt idx="1988">
                  <c:v>22069.730468999998</c:v>
                </c:pt>
                <c:pt idx="1989">
                  <c:v>21842.330077999999</c:v>
                </c:pt>
                <c:pt idx="1990">
                  <c:v>22072.179688</c:v>
                </c:pt>
                <c:pt idx="1991">
                  <c:v>21958.359375</c:v>
                </c:pt>
                <c:pt idx="1992">
                  <c:v>21660.470702999999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7-4C76-9EDE-5543243A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276736"/>
        <c:axId val="1559277152"/>
      </c:line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12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048686868686869"/>
          <c:y val="7.5421759259259258E-2"/>
          <c:w val="0.3218295454545454"/>
          <c:h val="0.1108129629629629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75454545454545"/>
          <c:y val="6.4675925925925928E-2"/>
          <c:w val="0.84530050505050502"/>
          <c:h val="0.64325787037037041"/>
        </c:manualLayout>
      </c:layout>
      <c:lineChart>
        <c:grouping val="standard"/>
        <c:varyColors val="0"/>
        <c:ser>
          <c:idx val="0"/>
          <c:order val="0"/>
          <c:tx>
            <c:strRef>
              <c:f>Illustrate!$B$5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Illustrate!$A$6:$A$51</c:f>
              <c:numCache>
                <c:formatCode>m/d/yyyy</c:formatCode>
                <c:ptCount val="46"/>
                <c:pt idx="0">
                  <c:v>40543</c:v>
                </c:pt>
                <c:pt idx="1">
                  <c:v>40546</c:v>
                </c:pt>
                <c:pt idx="2">
                  <c:v>40547</c:v>
                </c:pt>
                <c:pt idx="3">
                  <c:v>40548</c:v>
                </c:pt>
                <c:pt idx="4">
                  <c:v>40549</c:v>
                </c:pt>
                <c:pt idx="5">
                  <c:v>40550</c:v>
                </c:pt>
                <c:pt idx="6">
                  <c:v>40553</c:v>
                </c:pt>
                <c:pt idx="7">
                  <c:v>40554</c:v>
                </c:pt>
                <c:pt idx="8">
                  <c:v>40555</c:v>
                </c:pt>
                <c:pt idx="9">
                  <c:v>40556</c:v>
                </c:pt>
                <c:pt idx="10">
                  <c:v>40557</c:v>
                </c:pt>
                <c:pt idx="11">
                  <c:v>40560</c:v>
                </c:pt>
                <c:pt idx="12">
                  <c:v>40561</c:v>
                </c:pt>
                <c:pt idx="13">
                  <c:v>40562</c:v>
                </c:pt>
                <c:pt idx="14">
                  <c:v>40563</c:v>
                </c:pt>
                <c:pt idx="15">
                  <c:v>40564</c:v>
                </c:pt>
                <c:pt idx="16">
                  <c:v>40567</c:v>
                </c:pt>
                <c:pt idx="17">
                  <c:v>40568</c:v>
                </c:pt>
                <c:pt idx="18">
                  <c:v>40569</c:v>
                </c:pt>
                <c:pt idx="19">
                  <c:v>40570</c:v>
                </c:pt>
                <c:pt idx="20">
                  <c:v>40571</c:v>
                </c:pt>
                <c:pt idx="21">
                  <c:v>40574</c:v>
                </c:pt>
                <c:pt idx="22">
                  <c:v>40575</c:v>
                </c:pt>
                <c:pt idx="23">
                  <c:v>40576</c:v>
                </c:pt>
                <c:pt idx="24">
                  <c:v>40577</c:v>
                </c:pt>
                <c:pt idx="25">
                  <c:v>40578</c:v>
                </c:pt>
                <c:pt idx="26">
                  <c:v>40581</c:v>
                </c:pt>
                <c:pt idx="27">
                  <c:v>40582</c:v>
                </c:pt>
                <c:pt idx="28">
                  <c:v>40583</c:v>
                </c:pt>
                <c:pt idx="29">
                  <c:v>40584</c:v>
                </c:pt>
                <c:pt idx="30">
                  <c:v>40585</c:v>
                </c:pt>
                <c:pt idx="31">
                  <c:v>40588</c:v>
                </c:pt>
                <c:pt idx="32">
                  <c:v>40589</c:v>
                </c:pt>
                <c:pt idx="33">
                  <c:v>40590</c:v>
                </c:pt>
                <c:pt idx="34">
                  <c:v>40591</c:v>
                </c:pt>
                <c:pt idx="35">
                  <c:v>40592</c:v>
                </c:pt>
                <c:pt idx="36">
                  <c:v>40595</c:v>
                </c:pt>
                <c:pt idx="37">
                  <c:v>40596</c:v>
                </c:pt>
                <c:pt idx="38">
                  <c:v>40597</c:v>
                </c:pt>
                <c:pt idx="39">
                  <c:v>40598</c:v>
                </c:pt>
                <c:pt idx="40">
                  <c:v>40599</c:v>
                </c:pt>
                <c:pt idx="41">
                  <c:v>40602</c:v>
                </c:pt>
                <c:pt idx="42">
                  <c:v>40603</c:v>
                </c:pt>
                <c:pt idx="43">
                  <c:v>40604</c:v>
                </c:pt>
                <c:pt idx="44">
                  <c:v>40605</c:v>
                </c:pt>
                <c:pt idx="45">
                  <c:v>40606</c:v>
                </c:pt>
              </c:numCache>
            </c:numRef>
          </c:cat>
          <c:val>
            <c:numRef>
              <c:f>Illustrate!$B$6:$B$51</c:f>
              <c:numCache>
                <c:formatCode>General</c:formatCode>
                <c:ptCount val="46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117</c:v>
                </c:pt>
                <c:pt idx="22">
                  <c:v>112</c:v>
                </c:pt>
                <c:pt idx="23">
                  <c:v>114</c:v>
                </c:pt>
                <c:pt idx="24">
                  <c:v>117</c:v>
                </c:pt>
                <c:pt idx="25">
                  <c:v>121</c:v>
                </c:pt>
                <c:pt idx="26">
                  <c:v>126</c:v>
                </c:pt>
                <c:pt idx="27">
                  <c:v>134</c:v>
                </c:pt>
                <c:pt idx="28">
                  <c:v>135</c:v>
                </c:pt>
                <c:pt idx="29">
                  <c:v>136</c:v>
                </c:pt>
                <c:pt idx="30">
                  <c:v>137</c:v>
                </c:pt>
                <c:pt idx="31">
                  <c:v>138</c:v>
                </c:pt>
                <c:pt idx="32">
                  <c:v>139</c:v>
                </c:pt>
                <c:pt idx="33">
                  <c:v>140</c:v>
                </c:pt>
                <c:pt idx="34">
                  <c:v>141</c:v>
                </c:pt>
                <c:pt idx="35">
                  <c:v>142</c:v>
                </c:pt>
                <c:pt idx="36">
                  <c:v>143</c:v>
                </c:pt>
                <c:pt idx="37">
                  <c:v>144</c:v>
                </c:pt>
                <c:pt idx="38">
                  <c:v>145</c:v>
                </c:pt>
                <c:pt idx="39">
                  <c:v>146</c:v>
                </c:pt>
                <c:pt idx="40">
                  <c:v>147</c:v>
                </c:pt>
                <c:pt idx="41">
                  <c:v>148</c:v>
                </c:pt>
                <c:pt idx="42">
                  <c:v>148.5</c:v>
                </c:pt>
                <c:pt idx="43">
                  <c:v>149</c:v>
                </c:pt>
                <c:pt idx="44">
                  <c:v>149.5</c:v>
                </c:pt>
                <c:pt idx="45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E6-416F-8E78-F0B3D4A37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594191"/>
        <c:axId val="380597935"/>
      </c:lineChart>
      <c:dateAx>
        <c:axId val="3805941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0597935"/>
        <c:crosses val="autoZero"/>
        <c:auto val="1"/>
        <c:lblOffset val="100"/>
        <c:baseTimeUnit val="days"/>
      </c:dateAx>
      <c:valAx>
        <c:axId val="380597935"/>
        <c:scaling>
          <c:orientation val="minMax"/>
          <c:min val="9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0594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77777777777776E-2"/>
          <c:y val="6.4675925925925928E-2"/>
          <c:w val="0.92944444444444441"/>
          <c:h val="0.91768518518518516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Sheet3!$A$10:$A$29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Sheet3!$B$10:$B$29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10.102371229636208</c:v>
                </c:pt>
                <c:pt idx="2">
                  <c:v>10.097149591585445</c:v>
                </c:pt>
                <c:pt idx="3">
                  <c:v>10.096885076260422</c:v>
                </c:pt>
                <c:pt idx="4">
                  <c:v>10.096674025452973</c:v>
                </c:pt>
                <c:pt idx="5">
                  <c:v>10.08948820556467</c:v>
                </c:pt>
                <c:pt idx="6">
                  <c:v>10.08</c:v>
                </c:pt>
                <c:pt idx="7">
                  <c:v>10.074999999999999</c:v>
                </c:pt>
                <c:pt idx="8">
                  <c:v>10.08</c:v>
                </c:pt>
                <c:pt idx="9">
                  <c:v>10.078527699885123</c:v>
                </c:pt>
                <c:pt idx="10">
                  <c:v>10.088180481611317</c:v>
                </c:pt>
                <c:pt idx="11">
                  <c:v>10.087558392233889</c:v>
                </c:pt>
                <c:pt idx="12">
                  <c:v>10.091603972837493</c:v>
                </c:pt>
                <c:pt idx="13">
                  <c:v>10.09</c:v>
                </c:pt>
                <c:pt idx="14">
                  <c:v>10.085000000000001</c:v>
                </c:pt>
                <c:pt idx="15">
                  <c:v>10.1</c:v>
                </c:pt>
                <c:pt idx="16">
                  <c:v>10.105</c:v>
                </c:pt>
                <c:pt idx="17">
                  <c:v>10.114401864961284</c:v>
                </c:pt>
                <c:pt idx="18">
                  <c:v>10.113905712780468</c:v>
                </c:pt>
                <c:pt idx="19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6-4550-98A7-BFF8C8130B09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Sheet3!$D$10:$D$29</c:f>
              <c:numCache>
                <c:formatCode>General</c:formatCode>
                <c:ptCount val="20"/>
                <c:pt idx="0">
                  <c:v>1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Sheet3!$E$10:$E$29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10.078527699885123</c:v>
                </c:pt>
                <c:pt idx="2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86-4550-98A7-BFF8C8130B09}"/>
            </c:ext>
          </c:extLst>
        </c:ser>
        <c:ser>
          <c:idx val="2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Sheet3!$G$10:$G$11</c:f>
              <c:numCache>
                <c:formatCode>General</c:formatCode>
                <c:ptCount val="2"/>
                <c:pt idx="0">
                  <c:v>1</c:v>
                </c:pt>
                <c:pt idx="1">
                  <c:v>20</c:v>
                </c:pt>
              </c:numCache>
            </c:numRef>
          </c:xVal>
          <c:yVal>
            <c:numRef>
              <c:f>Sheet3!$H$10:$H$11</c:f>
              <c:numCache>
                <c:formatCode>General</c:formatCode>
                <c:ptCount val="2"/>
                <c:pt idx="0">
                  <c:v>10.096645205739135</c:v>
                </c:pt>
                <c:pt idx="1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86-4550-98A7-BFF8C8130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69535"/>
        <c:axId val="436070783"/>
      </c:scatterChart>
      <c:valAx>
        <c:axId val="436069535"/>
        <c:scaling>
          <c:orientation val="minMax"/>
          <c:max val="2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6070783"/>
        <c:crosses val="autoZero"/>
        <c:crossBetween val="midCat"/>
      </c:valAx>
      <c:valAx>
        <c:axId val="436070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606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77777777777776E-2"/>
          <c:y val="6.4675925925925928E-2"/>
          <c:w val="0.92944444444444441"/>
          <c:h val="0.91768518518518516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Sheet3!$A$10:$A$29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Sheet3!$B$10:$B$29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10.102371229636208</c:v>
                </c:pt>
                <c:pt idx="2">
                  <c:v>10.097149591585445</c:v>
                </c:pt>
                <c:pt idx="3">
                  <c:v>10.096885076260422</c:v>
                </c:pt>
                <c:pt idx="4">
                  <c:v>10.096674025452973</c:v>
                </c:pt>
                <c:pt idx="5">
                  <c:v>10.08948820556467</c:v>
                </c:pt>
                <c:pt idx="6">
                  <c:v>10.08</c:v>
                </c:pt>
                <c:pt idx="7">
                  <c:v>10.074999999999999</c:v>
                </c:pt>
                <c:pt idx="8">
                  <c:v>10.08</c:v>
                </c:pt>
                <c:pt idx="9">
                  <c:v>10.078527699885123</c:v>
                </c:pt>
                <c:pt idx="10">
                  <c:v>10.088180481611317</c:v>
                </c:pt>
                <c:pt idx="11">
                  <c:v>10.087558392233889</c:v>
                </c:pt>
                <c:pt idx="12">
                  <c:v>10.091603972837493</c:v>
                </c:pt>
                <c:pt idx="13">
                  <c:v>10.09</c:v>
                </c:pt>
                <c:pt idx="14">
                  <c:v>10.085000000000001</c:v>
                </c:pt>
                <c:pt idx="15">
                  <c:v>10.1</c:v>
                </c:pt>
                <c:pt idx="16">
                  <c:v>10.105</c:v>
                </c:pt>
                <c:pt idx="17">
                  <c:v>10.114401864961284</c:v>
                </c:pt>
                <c:pt idx="18">
                  <c:v>10.113905712780468</c:v>
                </c:pt>
                <c:pt idx="19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5-48D8-978C-73BFF782140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Sheet3!$D$10:$D$29</c:f>
              <c:numCache>
                <c:formatCode>General</c:formatCode>
                <c:ptCount val="20"/>
                <c:pt idx="0">
                  <c:v>1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Sheet3!$E$10:$E$29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10.078527699885123</c:v>
                </c:pt>
                <c:pt idx="2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5-48D8-978C-73BFF782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69535"/>
        <c:axId val="436070783"/>
      </c:scatterChart>
      <c:valAx>
        <c:axId val="436069535"/>
        <c:scaling>
          <c:orientation val="minMax"/>
          <c:max val="2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6070783"/>
        <c:crosses val="autoZero"/>
        <c:crossBetween val="midCat"/>
      </c:valAx>
      <c:valAx>
        <c:axId val="436070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606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484848484848483E-2"/>
          <c:y val="8.2314814814814813E-2"/>
          <c:w val="0.92944444444444441"/>
          <c:h val="0.91768518518518516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Sheet3!$A$10:$A$29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Sheet3!$B$10:$B$29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10.102371229636208</c:v>
                </c:pt>
                <c:pt idx="2">
                  <c:v>10.097149591585445</c:v>
                </c:pt>
                <c:pt idx="3">
                  <c:v>10.096885076260422</c:v>
                </c:pt>
                <c:pt idx="4">
                  <c:v>10.096674025452973</c:v>
                </c:pt>
                <c:pt idx="5">
                  <c:v>10.08948820556467</c:v>
                </c:pt>
                <c:pt idx="6">
                  <c:v>10.08</c:v>
                </c:pt>
                <c:pt idx="7">
                  <c:v>10.074999999999999</c:v>
                </c:pt>
                <c:pt idx="8">
                  <c:v>10.08</c:v>
                </c:pt>
                <c:pt idx="9">
                  <c:v>10.078527699885123</c:v>
                </c:pt>
                <c:pt idx="10">
                  <c:v>10.088180481611317</c:v>
                </c:pt>
                <c:pt idx="11">
                  <c:v>10.087558392233889</c:v>
                </c:pt>
                <c:pt idx="12">
                  <c:v>10.091603972837493</c:v>
                </c:pt>
                <c:pt idx="13">
                  <c:v>10.09</c:v>
                </c:pt>
                <c:pt idx="14">
                  <c:v>10.085000000000001</c:v>
                </c:pt>
                <c:pt idx="15">
                  <c:v>10.1</c:v>
                </c:pt>
                <c:pt idx="16">
                  <c:v>10.105</c:v>
                </c:pt>
                <c:pt idx="17">
                  <c:v>10.114401864961284</c:v>
                </c:pt>
                <c:pt idx="18">
                  <c:v>10.113905712780468</c:v>
                </c:pt>
                <c:pt idx="19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1C-46C0-95BA-1EE719103473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Sheet3!$J$10:$J$29</c:f>
              <c:numCache>
                <c:formatCode>General</c:formatCode>
                <c:ptCount val="20"/>
                <c:pt idx="0">
                  <c:v>1</c:v>
                </c:pt>
                <c:pt idx="1">
                  <c:v>10</c:v>
                </c:pt>
                <c:pt idx="6">
                  <c:v>10</c:v>
                </c:pt>
                <c:pt idx="7">
                  <c:v>20</c:v>
                </c:pt>
              </c:numCache>
            </c:numRef>
          </c:xVal>
          <c:yVal>
            <c:numRef>
              <c:f>Sheet3!$K$10:$K$29</c:f>
              <c:numCache>
                <c:formatCode>General</c:formatCode>
                <c:ptCount val="20"/>
                <c:pt idx="0">
                  <c:v>10.102589880687026</c:v>
                </c:pt>
                <c:pt idx="1">
                  <c:v>10.075958326137769</c:v>
                </c:pt>
                <c:pt idx="6">
                  <c:v>10.080199251189894</c:v>
                </c:pt>
                <c:pt idx="7">
                  <c:v>10.112462700180531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1C-46C0-95BA-1EE719103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69535"/>
        <c:axId val="436070783"/>
      </c:scatterChart>
      <c:valAx>
        <c:axId val="436069535"/>
        <c:scaling>
          <c:orientation val="minMax"/>
          <c:max val="2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6070783"/>
        <c:crosses val="autoZero"/>
        <c:crossBetween val="midCat"/>
      </c:valAx>
      <c:valAx>
        <c:axId val="436070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606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24</xdr:col>
      <xdr:colOff>0</xdr:colOff>
      <xdr:row>18</xdr:row>
      <xdr:rowOff>38100</xdr:rowOff>
    </xdr:from>
    <xdr:to>
      <xdr:col>30</xdr:col>
      <xdr:colOff>302400</xdr:colOff>
      <xdr:row>29</xdr:row>
      <xdr:rowOff>105775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30</xdr:col>
      <xdr:colOff>304800</xdr:colOff>
      <xdr:row>18</xdr:row>
      <xdr:rowOff>38100</xdr:rowOff>
    </xdr:from>
    <xdr:to>
      <xdr:col>36</xdr:col>
      <xdr:colOff>607200</xdr:colOff>
      <xdr:row>29</xdr:row>
      <xdr:rowOff>105775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24</xdr:col>
      <xdr:colOff>0</xdr:colOff>
      <xdr:row>29</xdr:row>
      <xdr:rowOff>38100</xdr:rowOff>
    </xdr:from>
    <xdr:to>
      <xdr:col>30</xdr:col>
      <xdr:colOff>302400</xdr:colOff>
      <xdr:row>40</xdr:row>
      <xdr:rowOff>105775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30</xdr:col>
      <xdr:colOff>304800</xdr:colOff>
      <xdr:row>29</xdr:row>
      <xdr:rowOff>38100</xdr:rowOff>
    </xdr:from>
    <xdr:to>
      <xdr:col>36</xdr:col>
      <xdr:colOff>607200</xdr:colOff>
      <xdr:row>40</xdr:row>
      <xdr:rowOff>105775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24</xdr:col>
      <xdr:colOff>0</xdr:colOff>
      <xdr:row>7</xdr:row>
      <xdr:rowOff>38100</xdr:rowOff>
    </xdr:from>
    <xdr:to>
      <xdr:col>30</xdr:col>
      <xdr:colOff>302400</xdr:colOff>
      <xdr:row>18</xdr:row>
      <xdr:rowOff>105775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30</xdr:col>
      <xdr:colOff>304800</xdr:colOff>
      <xdr:row>7</xdr:row>
      <xdr:rowOff>38100</xdr:rowOff>
    </xdr:from>
    <xdr:to>
      <xdr:col>36</xdr:col>
      <xdr:colOff>607200</xdr:colOff>
      <xdr:row>18</xdr:row>
      <xdr:rowOff>105775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</xdr:colOff>
          <xdr:row>4</xdr:row>
          <xdr:rowOff>114300</xdr:rowOff>
        </xdr:from>
        <xdr:to>
          <xdr:col>26</xdr:col>
          <xdr:colOff>495300</xdr:colOff>
          <xdr:row>4</xdr:row>
          <xdr:rowOff>419100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Narrow"/>
                </a:rPr>
                <a:t>Compress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24</xdr:col>
      <xdr:colOff>0</xdr:colOff>
      <xdr:row>42</xdr:row>
      <xdr:rowOff>0</xdr:rowOff>
    </xdr:from>
    <xdr:to>
      <xdr:col>30</xdr:col>
      <xdr:colOff>302400</xdr:colOff>
      <xdr:row>53</xdr:row>
      <xdr:rowOff>67675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0.1371</cdr:x>
      <cdr:y>0.29104</cdr:y>
    </cdr:from>
    <cdr:to>
      <cdr:x>0.22369</cdr:x>
      <cdr:y>0.56885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861654FA-62FA-8DE7-2BB2-4BBA9F495861}"/>
            </a:ext>
          </a:extLst>
        </cdr:cNvPr>
        <cdr:cNvCxnSpPr/>
      </cdr:nvCxnSpPr>
      <cdr:spPr>
        <a:xfrm xmlns:a="http://schemas.openxmlformats.org/drawingml/2006/main">
          <a:off x="542925" y="628650"/>
          <a:ext cx="342900" cy="60007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0.22449</cdr:x>
      <cdr:y>0.14993</cdr:y>
    </cdr:from>
    <cdr:to>
      <cdr:x>0.43536</cdr:x>
      <cdr:y>0.5615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F7650E62-4A52-8993-AC86-D2C1E216954A}"/>
            </a:ext>
          </a:extLst>
        </cdr:cNvPr>
        <cdr:cNvCxnSpPr/>
      </cdr:nvCxnSpPr>
      <cdr:spPr>
        <a:xfrm xmlns:a="http://schemas.openxmlformats.org/drawingml/2006/main" flipV="1">
          <a:off x="889000" y="323850"/>
          <a:ext cx="835025" cy="8890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0.43376</cdr:x>
      <cdr:y>0.15581</cdr:y>
    </cdr:from>
    <cdr:to>
      <cdr:x>0.51473</cdr:x>
      <cdr:y>0.40128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DEA69EA2-3689-F071-B7D1-15D00159FA5C}"/>
            </a:ext>
          </a:extLst>
        </cdr:cNvPr>
        <cdr:cNvCxnSpPr/>
      </cdr:nvCxnSpPr>
      <cdr:spPr>
        <a:xfrm xmlns:a="http://schemas.openxmlformats.org/drawingml/2006/main">
          <a:off x="1717675" y="336550"/>
          <a:ext cx="320675" cy="5302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0.76328</cdr:x>
      <cdr:y>0.20432</cdr:y>
    </cdr:from>
    <cdr:to>
      <cdr:x>0.94769</cdr:x>
      <cdr:y>0.67469</cdr:y>
    </cdr:to>
    <cdr:cxnSp macro="">
      <cdr:nvCxnSpPr>
        <cdr:cNvPr id="10" name="Straight Arrow Connector 9">
          <a:extLst xmlns:a="http://schemas.openxmlformats.org/drawingml/2006/main">
            <a:ext uri="{FF2B5EF4-FFF2-40B4-BE49-F238E27FC236}">
              <a16:creationId xmlns:a16="http://schemas.microsoft.com/office/drawing/2014/main" id="{62F23D5C-9051-D5F8-FDCE-9E24AEEC3D35}"/>
            </a:ext>
          </a:extLst>
        </cdr:cNvPr>
        <cdr:cNvCxnSpPr/>
      </cdr:nvCxnSpPr>
      <cdr:spPr>
        <a:xfrm xmlns:a="http://schemas.openxmlformats.org/drawingml/2006/main">
          <a:off x="3022600" y="441325"/>
          <a:ext cx="730250" cy="10160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0.64542</cdr:x>
      <cdr:y>0.25723</cdr:y>
    </cdr:from>
    <cdr:to>
      <cdr:x>0.67108</cdr:x>
      <cdr:y>0.46743</cdr:y>
    </cdr:to>
    <cdr:cxnSp macro="">
      <cdr:nvCxnSpPr>
        <cdr:cNvPr id="12" name="Straight Arrow Connector 11">
          <a:extLst xmlns:a="http://schemas.openxmlformats.org/drawingml/2006/main">
            <a:ext uri="{FF2B5EF4-FFF2-40B4-BE49-F238E27FC236}">
              <a16:creationId xmlns:a16="http://schemas.microsoft.com/office/drawing/2014/main" id="{2E133C3F-9524-7636-DFB0-666757424BE4}"/>
            </a:ext>
          </a:extLst>
        </cdr:cNvPr>
        <cdr:cNvCxnSpPr/>
      </cdr:nvCxnSpPr>
      <cdr:spPr>
        <a:xfrm xmlns:a="http://schemas.openxmlformats.org/drawingml/2006/main">
          <a:off x="2555875" y="555625"/>
          <a:ext cx="101600" cy="4540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0.94307</cdr:x>
      <cdr:y>0.44097</cdr:y>
    </cdr:from>
    <cdr:to>
      <cdr:x>0.96934</cdr:x>
      <cdr:y>0.67322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2935BB64-903C-BDE1-530C-E416DAC98E22}"/>
            </a:ext>
          </a:extLst>
        </cdr:cNvPr>
        <cdr:cNvCxnSpPr/>
      </cdr:nvCxnSpPr>
      <cdr:spPr>
        <a:xfrm xmlns:a="http://schemas.openxmlformats.org/drawingml/2006/main" flipV="1">
          <a:off x="3734575" y="952500"/>
          <a:ext cx="104000" cy="5016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0.67188</cdr:x>
      <cdr:y>0.20285</cdr:y>
    </cdr:from>
    <cdr:to>
      <cdr:x>0.76489</cdr:x>
      <cdr:y>0.47184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305C9B02-FE98-D894-1ABB-1AABAE729EB9}"/>
            </a:ext>
          </a:extLst>
        </cdr:cNvPr>
        <cdr:cNvCxnSpPr/>
      </cdr:nvCxnSpPr>
      <cdr:spPr>
        <a:xfrm xmlns:a="http://schemas.openxmlformats.org/drawingml/2006/main" flipV="1">
          <a:off x="2660650" y="438150"/>
          <a:ext cx="368300" cy="5810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0.52917</cdr:x>
      <cdr:y>0.22931</cdr:y>
    </cdr:from>
    <cdr:to>
      <cdr:x>0.56765</cdr:x>
      <cdr:y>0.37042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15F4339B-AAD5-3C8F-9A57-14426B4FFAF1}"/>
            </a:ext>
          </a:extLst>
        </cdr:cNvPr>
        <cdr:cNvCxnSpPr/>
      </cdr:nvCxnSpPr>
      <cdr:spPr>
        <a:xfrm xmlns:a="http://schemas.openxmlformats.org/drawingml/2006/main" flipV="1">
          <a:off x="2095500" y="495300"/>
          <a:ext cx="152400" cy="3048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0.56605</cdr:x>
      <cdr:y>0.23519</cdr:y>
    </cdr:from>
    <cdr:to>
      <cdr:x>0.64703</cdr:x>
      <cdr:y>0.25576</cdr:y>
    </cdr:to>
    <cdr:cxnSp macro="">
      <cdr:nvCxnSpPr>
        <cdr:cNvPr id="20" name="Straight Arrow Connector 19">
          <a:extLst xmlns:a="http://schemas.openxmlformats.org/drawingml/2006/main">
            <a:ext uri="{FF2B5EF4-FFF2-40B4-BE49-F238E27FC236}">
              <a16:creationId xmlns:a16="http://schemas.microsoft.com/office/drawing/2014/main" id="{364B648B-7CBB-6CAF-6A27-F55745D2E201}"/>
            </a:ext>
          </a:extLst>
        </cdr:cNvPr>
        <cdr:cNvCxnSpPr/>
      </cdr:nvCxnSpPr>
      <cdr:spPr>
        <a:xfrm xmlns:a="http://schemas.openxmlformats.org/drawingml/2006/main">
          <a:off x="2241550" y="508000"/>
          <a:ext cx="320675" cy="444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5</xdr:row>
      <xdr:rowOff>104775</xdr:rowOff>
    </xdr:from>
    <xdr:to>
      <xdr:col>8</xdr:col>
      <xdr:colOff>521475</xdr:colOff>
      <xdr:row>16</xdr:row>
      <xdr:rowOff>169275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0.10343</cdr:x>
      <cdr:y>0.00882</cdr:y>
    </cdr:from>
    <cdr:to>
      <cdr:x>0.94047</cdr:x>
      <cdr:y>0.47184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0ACB0355-0072-75DA-2666-6E3B031BE721}"/>
            </a:ext>
          </a:extLst>
        </cdr:cNvPr>
        <cdr:cNvCxnSpPr/>
      </cdr:nvCxnSpPr>
      <cdr:spPr>
        <a:xfrm xmlns:a="http://schemas.openxmlformats.org/drawingml/2006/main" flipV="1">
          <a:off x="409575" y="19050"/>
          <a:ext cx="3314700" cy="1000125"/>
        </a:xfrm>
        <a:prstGeom xmlns:a="http://schemas.openxmlformats.org/drawingml/2006/main" prst="straightConnector1">
          <a:avLst/>
        </a:prstGeom>
        <a:ln xmlns:a="http://schemas.openxmlformats.org/drawingml/2006/main" w="12700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0.55081</cdr:x>
      <cdr:y>0.2249</cdr:y>
    </cdr:from>
    <cdr:to>
      <cdr:x>0.94528</cdr:x>
      <cdr:y>0.56885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949F49DC-08D5-CC59-9A4E-CC8437124EFA}"/>
            </a:ext>
          </a:extLst>
        </cdr:cNvPr>
        <cdr:cNvCxnSpPr/>
      </cdr:nvCxnSpPr>
      <cdr:spPr>
        <a:xfrm xmlns:a="http://schemas.openxmlformats.org/drawingml/2006/main" flipV="1">
          <a:off x="2181225" y="485775"/>
          <a:ext cx="1562100" cy="7429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0.49309</cdr:x>
      <cdr:y>0.51153</cdr:y>
    </cdr:from>
    <cdr:to>
      <cdr:x>0.546</cdr:x>
      <cdr:y>0.56885</cdr:y>
    </cdr:to>
    <cdr:cxnSp macro="">
      <cdr:nvCxnSpPr>
        <cdr:cNvPr id="8" name="Straight Arrow Connector 7">
          <a:extLst xmlns:a="http://schemas.openxmlformats.org/drawingml/2006/main">
            <a:ext uri="{FF2B5EF4-FFF2-40B4-BE49-F238E27FC236}">
              <a16:creationId xmlns:a16="http://schemas.microsoft.com/office/drawing/2014/main" id="{FEFD3F9B-3576-66AB-7EEA-01122BBA6ADC}"/>
            </a:ext>
          </a:extLst>
        </cdr:cNvPr>
        <cdr:cNvCxnSpPr/>
      </cdr:nvCxnSpPr>
      <cdr:spPr>
        <a:xfrm xmlns:a="http://schemas.openxmlformats.org/drawingml/2006/main">
          <a:off x="1952625" y="1104900"/>
          <a:ext cx="209550" cy="1238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0.10423</cdr:x>
      <cdr:y>0.48948</cdr:y>
    </cdr:from>
    <cdr:to>
      <cdr:x>0.48828</cdr:x>
      <cdr:y>0.67175</cdr:y>
    </cdr:to>
    <cdr:cxnSp macro="">
      <cdr:nvCxnSpPr>
        <cdr:cNvPr id="10" name="Straight Arrow Connector 9">
          <a:extLst xmlns:a="http://schemas.openxmlformats.org/drawingml/2006/main">
            <a:ext uri="{FF2B5EF4-FFF2-40B4-BE49-F238E27FC236}">
              <a16:creationId xmlns:a16="http://schemas.microsoft.com/office/drawing/2014/main" id="{6958B663-B824-CE96-8133-38EC58AE3FDC}"/>
            </a:ext>
          </a:extLst>
        </cdr:cNvPr>
        <cdr:cNvCxnSpPr/>
      </cdr:nvCxnSpPr>
      <cdr:spPr>
        <a:xfrm xmlns:a="http://schemas.openxmlformats.org/drawingml/2006/main" flipV="1">
          <a:off x="412750" y="1057275"/>
          <a:ext cx="1520825" cy="3937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0.42574</cdr:x>
      <cdr:y>0.12788</cdr:y>
    </cdr:from>
    <cdr:to>
      <cdr:x>0.55322</cdr:x>
      <cdr:y>0.21608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5F0CB6A6-58A7-B850-55C1-A3F2D325B2CF}"/>
            </a:ext>
          </a:extLst>
        </cdr:cNvPr>
        <cdr:cNvSpPr txBox="1"/>
      </cdr:nvSpPr>
      <cdr:spPr>
        <a:xfrm xmlns:a="http://schemas.openxmlformats.org/drawingml/2006/main">
          <a:off x="1685925" y="27622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+50%</a:t>
          </a:r>
        </a:p>
      </cdr:txBody>
    </cdr:sp>
  </cdr:relSizeAnchor>
  <cdr:relSizeAnchor xmlns:cdr="http://schemas.openxmlformats.org/drawingml/2006/chartDrawing">
    <cdr:from>
      <cdr:x>0.27501</cdr:x>
      <cdr:y>0.60119</cdr:y>
    </cdr:from>
    <cdr:to>
      <cdr:x>0.40249</cdr:x>
      <cdr:y>0.68939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C9FDC2F0-2475-AF95-232C-C077D43FD887}"/>
            </a:ext>
          </a:extLst>
        </cdr:cNvPr>
        <cdr:cNvSpPr txBox="1"/>
      </cdr:nvSpPr>
      <cdr:spPr>
        <a:xfrm xmlns:a="http://schemas.openxmlformats.org/drawingml/2006/main">
          <a:off x="1089025" y="129857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rgbClr val="FF0000"/>
              </a:solidFill>
              <a:latin typeface="Arial Narrow" panose="020B0606020202030204" pitchFamily="34" charset="0"/>
            </a:rPr>
            <a:t>+20%</a:t>
          </a:r>
        </a:p>
      </cdr:txBody>
    </cdr:sp>
  </cdr:relSizeAnchor>
  <cdr:relSizeAnchor xmlns:cdr="http://schemas.openxmlformats.org/drawingml/2006/chartDrawing">
    <cdr:from>
      <cdr:x>0.45059</cdr:x>
      <cdr:y>0.5615</cdr:y>
    </cdr:from>
    <cdr:to>
      <cdr:x>0.57807</cdr:x>
      <cdr:y>0.6497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A481BEDE-1A16-B1F0-4EDD-9925C93F9AF8}"/>
            </a:ext>
          </a:extLst>
        </cdr:cNvPr>
        <cdr:cNvSpPr txBox="1"/>
      </cdr:nvSpPr>
      <cdr:spPr>
        <a:xfrm xmlns:a="http://schemas.openxmlformats.org/drawingml/2006/main">
          <a:off x="1784350" y="1212850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rgbClr val="FF0000"/>
              </a:solidFill>
              <a:latin typeface="Arial Narrow" panose="020B0606020202030204" pitchFamily="34" charset="0"/>
            </a:rPr>
            <a:t>-7%</a:t>
          </a:r>
        </a:p>
      </cdr:txBody>
    </cdr:sp>
  </cdr:relSizeAnchor>
  <cdr:relSizeAnchor xmlns:cdr="http://schemas.openxmlformats.org/drawingml/2006/chartDrawing">
    <cdr:from>
      <cdr:x>0.7272</cdr:x>
      <cdr:y>0.38953</cdr:y>
    </cdr:from>
    <cdr:to>
      <cdr:x>0.85468</cdr:x>
      <cdr:y>0.47772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A481BEDE-1A16-B1F0-4EDD-9925C93F9AF8}"/>
            </a:ext>
          </a:extLst>
        </cdr:cNvPr>
        <cdr:cNvSpPr txBox="1"/>
      </cdr:nvSpPr>
      <cdr:spPr>
        <a:xfrm xmlns:a="http://schemas.openxmlformats.org/drawingml/2006/main">
          <a:off x="2879725" y="84137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rgbClr val="FF0000"/>
              </a:solidFill>
              <a:latin typeface="Arial Narrow" panose="020B0606020202030204" pitchFamily="34" charset="0"/>
            </a:rPr>
            <a:t>+34%</a:t>
          </a:r>
        </a:p>
      </cdr:txBody>
    </cdr:sp>
  </cdr:relSizeAnchor>
  <cdr:relSizeAnchor xmlns:cdr="http://schemas.openxmlformats.org/drawingml/2006/chartDrawing">
    <cdr:from>
      <cdr:x>0.52436</cdr:x>
      <cdr:y>0.27781</cdr:y>
    </cdr:from>
    <cdr:to>
      <cdr:x>0.61576</cdr:x>
      <cdr:y>0.45861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DA8D15E2-EAF8-749E-5FD9-E35A47081719}"/>
            </a:ext>
          </a:extLst>
        </cdr:cNvPr>
        <cdr:cNvCxnSpPr/>
      </cdr:nvCxnSpPr>
      <cdr:spPr>
        <a:xfrm xmlns:a="http://schemas.openxmlformats.org/drawingml/2006/main" flipV="1">
          <a:off x="2076450" y="600075"/>
          <a:ext cx="361950" cy="3905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bg1">
              <a:lumMod val="65000"/>
            </a:schemeClr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0.62378</cdr:x>
      <cdr:y>0.11465</cdr:y>
    </cdr:from>
    <cdr:to>
      <cdr:x>0.93566</cdr:x>
      <cdr:y>0.27487</cdr:y>
    </cdr:to>
    <cdr:cxnSp macro="">
      <cdr:nvCxnSpPr>
        <cdr:cNvPr id="21" name="Straight Arrow Connector 20">
          <a:extLst xmlns:a="http://schemas.openxmlformats.org/drawingml/2006/main">
            <a:ext uri="{FF2B5EF4-FFF2-40B4-BE49-F238E27FC236}">
              <a16:creationId xmlns:a16="http://schemas.microsoft.com/office/drawing/2014/main" id="{E160239E-DB26-DC47-BEB3-E3ABE4316E55}"/>
            </a:ext>
          </a:extLst>
        </cdr:cNvPr>
        <cdr:cNvCxnSpPr/>
      </cdr:nvCxnSpPr>
      <cdr:spPr>
        <a:xfrm xmlns:a="http://schemas.openxmlformats.org/drawingml/2006/main" flipV="1">
          <a:off x="2470150" y="247650"/>
          <a:ext cx="1235075" cy="34607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bg1">
              <a:lumMod val="65000"/>
            </a:schemeClr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0.46021</cdr:x>
      <cdr:y>0.29251</cdr:y>
    </cdr:from>
    <cdr:to>
      <cdr:x>0.5877</cdr:x>
      <cdr:y>0.38071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A5D60676-C071-28E2-FD23-E00AAACEB0B0}"/>
            </a:ext>
          </a:extLst>
        </cdr:cNvPr>
        <cdr:cNvSpPr txBox="1"/>
      </cdr:nvSpPr>
      <cdr:spPr>
        <a:xfrm xmlns:a="http://schemas.openxmlformats.org/drawingml/2006/main">
          <a:off x="1822450" y="63182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chemeClr val="bg1">
                  <a:lumMod val="65000"/>
                </a:schemeClr>
              </a:solidFill>
              <a:latin typeface="Arial Narrow" panose="020B0606020202030204" pitchFamily="34" charset="0"/>
            </a:rPr>
            <a:t>+20%</a:t>
          </a:r>
        </a:p>
      </cdr:txBody>
    </cdr:sp>
  </cdr:relSizeAnchor>
  <cdr:relSizeAnchor xmlns:cdr="http://schemas.openxmlformats.org/drawingml/2006/chartDrawing">
    <cdr:from>
      <cdr:x>0.71037</cdr:x>
      <cdr:y>0.10289</cdr:y>
    </cdr:from>
    <cdr:to>
      <cdr:x>0.83785</cdr:x>
      <cdr:y>0.19109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F60C4DCD-2A47-2336-8376-CF5E6CD8F2B2}"/>
            </a:ext>
          </a:extLst>
        </cdr:cNvPr>
        <cdr:cNvSpPr txBox="1"/>
      </cdr:nvSpPr>
      <cdr:spPr>
        <a:xfrm xmlns:a="http://schemas.openxmlformats.org/drawingml/2006/main">
          <a:off x="2813050" y="222250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chemeClr val="bg1">
                  <a:lumMod val="65000"/>
                </a:schemeClr>
              </a:solidFill>
              <a:latin typeface="Arial Narrow" panose="020B0606020202030204" pitchFamily="34" charset="0"/>
            </a:rPr>
            <a:t>+12%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52387</xdr:colOff>
      <xdr:row>9</xdr:row>
      <xdr:rowOff>0</xdr:rowOff>
    </xdr:from>
    <xdr:to>
      <xdr:col>19</xdr:col>
      <xdr:colOff>354787</xdr:colOff>
      <xdr:row>20</xdr:row>
      <xdr:rowOff>64500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16</xdr:col>
      <xdr:colOff>331200</xdr:colOff>
      <xdr:row>35</xdr:row>
      <xdr:rowOff>64500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314325</xdr:colOff>
      <xdr:row>24</xdr:row>
      <xdr:rowOff>0</xdr:rowOff>
    </xdr:from>
    <xdr:to>
      <xdr:col>20</xdr:col>
      <xdr:colOff>35925</xdr:colOff>
      <xdr:row>35</xdr:row>
      <xdr:rowOff>64500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0.73001</cdr:x>
      <cdr:y>0.52035</cdr:y>
    </cdr:from>
    <cdr:to>
      <cdr:x>0.91522</cdr:x>
      <cdr:y>0.71878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73E1682-02C3-EE88-9A76-856BEC87731B}"/>
            </a:ext>
          </a:extLst>
        </cdr:cNvPr>
        <cdr:cNvSpPr txBox="1"/>
      </cdr:nvSpPr>
      <cdr:spPr>
        <a:xfrm xmlns:a="http://schemas.openxmlformats.org/drawingml/2006/main">
          <a:off x="2890838" y="1123950"/>
          <a:ext cx="7334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Segment 2: SSE2</a:t>
          </a:r>
        </a:p>
      </cdr:txBody>
    </cdr:sp>
  </cdr:relSizeAnchor>
  <cdr:relSizeAnchor xmlns:cdr="http://schemas.openxmlformats.org/drawingml/2006/chartDrawing">
    <cdr:from>
      <cdr:x>0.11385</cdr:x>
      <cdr:y>0.67616</cdr:y>
    </cdr:from>
    <cdr:to>
      <cdr:x>0.29906</cdr:x>
      <cdr:y>0.87459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9993CC8-4811-D969-2AA3-FA92AAC826CA}"/>
            </a:ext>
          </a:extLst>
        </cdr:cNvPr>
        <cdr:cNvSpPr txBox="1"/>
      </cdr:nvSpPr>
      <cdr:spPr>
        <a:xfrm xmlns:a="http://schemas.openxmlformats.org/drawingml/2006/main">
          <a:off x="450850" y="1460500"/>
          <a:ext cx="7334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Segment 1: SSE1</a:t>
          </a:r>
        </a:p>
      </cdr:txBody>
    </cdr:sp>
  </cdr:relSizeAnchor>
  <cdr:relSizeAnchor xmlns:cdr="http://schemas.openxmlformats.org/drawingml/2006/chartDrawing">
    <cdr:from>
      <cdr:x>0.38324</cdr:x>
      <cdr:y>0.20432</cdr:y>
    </cdr:from>
    <cdr:to>
      <cdr:x>0.56845</cdr:x>
      <cdr:y>0.40275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6068BA0-DD4E-2A18-A06D-3B2C50380A40}"/>
            </a:ext>
          </a:extLst>
        </cdr:cNvPr>
        <cdr:cNvSpPr txBox="1"/>
      </cdr:nvSpPr>
      <cdr:spPr>
        <a:xfrm xmlns:a="http://schemas.openxmlformats.org/drawingml/2006/main">
          <a:off x="1517650" y="441325"/>
          <a:ext cx="7334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Segment 1+2: SSE'</a:t>
          </a:r>
        </a:p>
      </cdr:txBody>
    </cdr:sp>
  </cdr:relSizeAnchor>
  <cdr:relSizeAnchor xmlns:cdr="http://schemas.openxmlformats.org/drawingml/2006/chartDrawing">
    <cdr:from>
      <cdr:x>0.03448</cdr:x>
      <cdr:y>0.06615</cdr:y>
    </cdr:from>
    <cdr:to>
      <cdr:x>0.6819</cdr:x>
      <cdr:y>0.17198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1412021-C422-8607-A2FE-4462CBB5F797}"/>
            </a:ext>
          </a:extLst>
        </cdr:cNvPr>
        <cdr:cNvSpPr txBox="1"/>
      </cdr:nvSpPr>
      <cdr:spPr>
        <a:xfrm xmlns:a="http://schemas.openxmlformats.org/drawingml/2006/main">
          <a:off x="136524" y="142876"/>
          <a:ext cx="2563813" cy="228600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Cost of merging = SSE' - SSE1 - SSE2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0.24694</cdr:x>
      <cdr:y>0.05292</cdr:y>
    </cdr:from>
    <cdr:to>
      <cdr:x>0.79816</cdr:x>
      <cdr:y>0.17198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ACFD5F-A121-5817-6B50-3BB99DA54F8D}"/>
            </a:ext>
          </a:extLst>
        </cdr:cNvPr>
        <cdr:cNvSpPr txBox="1"/>
      </cdr:nvSpPr>
      <cdr:spPr>
        <a:xfrm xmlns:a="http://schemas.openxmlformats.org/drawingml/2006/main">
          <a:off x="533399" y="114300"/>
          <a:ext cx="11906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HK" sz="1000">
              <a:latin typeface="Arial Narrow" panose="020B0606020202030204" pitchFamily="34" charset="0"/>
            </a:rPr>
            <a:t>Fit with Interpolation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0.21755</cdr:x>
      <cdr:y>0.06762</cdr:y>
    </cdr:from>
    <cdr:to>
      <cdr:x>0.76876</cdr:x>
      <cdr:y>0.18668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6683DB-4415-4165-00A1-A29950298AC5}"/>
            </a:ext>
          </a:extLst>
        </cdr:cNvPr>
        <cdr:cNvSpPr txBox="1"/>
      </cdr:nvSpPr>
      <cdr:spPr>
        <a:xfrm xmlns:a="http://schemas.openxmlformats.org/drawingml/2006/main">
          <a:off x="469900" y="146050"/>
          <a:ext cx="11906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sz="1000">
              <a:latin typeface="Arial Narrow" panose="020B0606020202030204" pitchFamily="34" charset="0"/>
            </a:rPr>
            <a:t>Fit with Regression</a:t>
          </a:r>
        </a:p>
      </cdr:txBody>
    </cdr:sp>
  </cdr:relSizeAnchor>
  <cdr:relSizeAnchor xmlns:cdr="http://schemas.openxmlformats.org/drawingml/2006/chartDrawing">
    <cdr:from>
      <cdr:x>0.38365</cdr:x>
      <cdr:y>0.68351</cdr:y>
    </cdr:from>
    <cdr:to>
      <cdr:x>0.57326</cdr:x>
      <cdr:y>0.98337</cdr:y>
    </cdr:to>
    <cdr:sp macro="" textlink="">
      <cdr:nvSpPr>
        <cdr:cNvPr id="3" name="Oval 2">
          <a:extLst xmlns:a="http://schemas.openxmlformats.org/drawingml/2006/main">
            <a:ext uri="{FF2B5EF4-FFF2-40B4-BE49-F238E27FC236}">
              <a16:creationId xmlns:a16="http://schemas.microsoft.com/office/drawing/2014/main" id="{55680D46-174D-BDC5-053D-C84B9BB1F805}"/>
            </a:ext>
          </a:extLst>
        </cdr:cNvPr>
        <cdr:cNvSpPr/>
      </cdr:nvSpPr>
      <cdr:spPr>
        <a:xfrm xmlns:a="http://schemas.openxmlformats.org/drawingml/2006/main">
          <a:off x="828675" y="1476375"/>
          <a:ext cx="409575" cy="64770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22225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F37E1-068E-421F-8244-F71BE28A8BA4}">
  <sheetPr codeName="Sheet1"/>
  <dimension ref="A1:AQ2020"/>
  <sheetViews>
    <sheetView tabSelected="1" zoomScaleNormal="100" workbookViewId="0">
      <pane xSplit="1" ySplit="5" topLeftCell="B9" activePane="bottomRight" state="frozen"/>
      <selection pane="topRight" activeCell="B1" sqref="B1"/>
      <selection pane="bottomLeft" activeCell="A2" sqref="A2"/>
      <selection pane="bottomRight" activeCell="A13" sqref="A13"/>
    </sheetView>
  </sheetViews>
  <sheetFormatPr defaultRowHeight="14.4" x14ac:dyDescent="0.3"/>
  <cols>
    <col min="1" max="1" width="10.77734375" bestFit="1" customWidth="1"/>
    <col min="3" max="3" width="10.21875" customWidth="1"/>
    <col min="5" max="5" width="10.77734375" bestFit="1" customWidth="1"/>
    <col min="8" max="8" width="10.77734375" bestFit="1" customWidth="1"/>
    <col min="11" max="11" width="10.77734375" bestFit="1" customWidth="1"/>
    <col min="14" max="14" width="10.44140625" customWidth="1"/>
    <col min="17" max="17" width="10.44140625" customWidth="1"/>
    <col min="20" max="20" width="11.5546875" customWidth="1"/>
    <col min="40" max="41" width="10.77734375" bestFit="1" customWidth="1"/>
    <col min="42" max="42" width="10.44140625" customWidth="1"/>
  </cols>
  <sheetData>
    <row r="1" spans="1:43" x14ac:dyDescent="0.3">
      <c r="C1" s="15" t="s">
        <v>9</v>
      </c>
      <c r="E1" s="15" t="s">
        <v>10</v>
      </c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3" spans="1:43" x14ac:dyDescent="0.3">
      <c r="E3" s="3" t="s">
        <v>3</v>
      </c>
      <c r="F3" s="4">
        <v>0</v>
      </c>
      <c r="H3" s="3" t="s">
        <v>3</v>
      </c>
      <c r="I3" s="4">
        <v>0</v>
      </c>
      <c r="K3" s="3" t="s">
        <v>3</v>
      </c>
      <c r="L3" s="4">
        <v>0</v>
      </c>
      <c r="N3" s="3" t="s">
        <v>3</v>
      </c>
      <c r="O3" s="4">
        <v>2</v>
      </c>
      <c r="Q3" s="3" t="s">
        <v>3</v>
      </c>
      <c r="R3" s="4">
        <v>2</v>
      </c>
      <c r="T3" s="3" t="s">
        <v>3</v>
      </c>
      <c r="U3" s="4">
        <v>2</v>
      </c>
    </row>
    <row r="4" spans="1:43" x14ac:dyDescent="0.3">
      <c r="E4" s="3" t="s">
        <v>2</v>
      </c>
      <c r="F4" s="4">
        <v>100</v>
      </c>
      <c r="H4" s="3" t="s">
        <v>2</v>
      </c>
      <c r="I4" s="4">
        <v>50</v>
      </c>
      <c r="K4" s="3" t="s">
        <v>2</v>
      </c>
      <c r="L4" s="4">
        <v>25</v>
      </c>
      <c r="N4" s="3" t="s">
        <v>2</v>
      </c>
      <c r="O4" s="4">
        <v>50</v>
      </c>
      <c r="Q4" s="3" t="s">
        <v>2</v>
      </c>
      <c r="R4" s="4">
        <v>50</v>
      </c>
      <c r="T4" s="3" t="s">
        <v>2</v>
      </c>
      <c r="U4" s="4">
        <v>25</v>
      </c>
    </row>
    <row r="5" spans="1:43" ht="42.75" customHeight="1" x14ac:dyDescent="0.3">
      <c r="A5" t="s">
        <v>0</v>
      </c>
      <c r="B5" s="2" t="s">
        <v>4</v>
      </c>
      <c r="C5" s="2" t="str">
        <f>"Input (n ="&amp;COUNT($C$6:$C$3000)&amp;")"</f>
        <v>Input (n =1993)</v>
      </c>
      <c r="E5" t="s">
        <v>0</v>
      </c>
      <c r="F5" s="5" t="str">
        <f>"Compressed (segment="&amp;F4&amp;", sign penalty="&amp;F3&amp;")"</f>
        <v>Compressed (segment=100, sign penalty=0)</v>
      </c>
      <c r="H5" t="s">
        <v>0</v>
      </c>
      <c r="I5" s="5" t="str">
        <f>"Compressed (segment="&amp;I4&amp;", sign penalty="&amp;I3&amp;")"</f>
        <v>Compressed (segment=50, sign penalty=0)</v>
      </c>
      <c r="K5" t="s">
        <v>0</v>
      </c>
      <c r="L5" s="5" t="str">
        <f>"Compressed (segment="&amp;L4&amp;", sign penalty="&amp;L3&amp;")"</f>
        <v>Compressed (segment=25, sign penalty=0)</v>
      </c>
      <c r="N5" t="s">
        <v>0</v>
      </c>
      <c r="O5" s="5" t="str">
        <f>"Compressed (segment="&amp;O4&amp;", sign penalty="&amp;O3&amp;")"</f>
        <v>Compressed (segment=50, sign penalty=2)</v>
      </c>
      <c r="Q5" t="s">
        <v>0</v>
      </c>
      <c r="R5" s="5" t="str">
        <f>"Compressed (segment="&amp;R4&amp;", sign penalty="&amp;R3&amp;")"</f>
        <v>Compressed (segment=50, sign penalty=2)</v>
      </c>
      <c r="T5" t="s">
        <v>0</v>
      </c>
      <c r="U5" s="5" t="str">
        <f>"Compressed (segment="&amp;U4&amp;", sign penalty="&amp;U3&amp;")"</f>
        <v>Compressed (segment=25, sign penalty=2)</v>
      </c>
      <c r="V5" s="6"/>
      <c r="AN5" s="7" t="s">
        <v>5</v>
      </c>
      <c r="AO5" s="8" t="s">
        <v>6</v>
      </c>
      <c r="AP5" s="11" t="s">
        <v>7</v>
      </c>
      <c r="AQ5" s="13" t="s">
        <v>8</v>
      </c>
    </row>
    <row r="6" spans="1:43" x14ac:dyDescent="0.3">
      <c r="A6" s="1">
        <v>42004</v>
      </c>
      <c r="B6">
        <v>23605.039063</v>
      </c>
      <c r="C6">
        <f>LN(B6)</f>
        <v>10.069215487840276</v>
      </c>
      <c r="E6" s="1">
        <v>42004</v>
      </c>
      <c r="F6">
        <v>10.069215487840276</v>
      </c>
      <c r="H6" s="1">
        <v>42004</v>
      </c>
      <c r="I6">
        <v>10.069215487840276</v>
      </c>
      <c r="K6" s="1">
        <v>42004</v>
      </c>
      <c r="L6">
        <v>10.069215487840276</v>
      </c>
      <c r="N6" s="1">
        <v>42004</v>
      </c>
      <c r="O6">
        <v>10.069215487840276</v>
      </c>
      <c r="Q6" s="1">
        <v>42004</v>
      </c>
      <c r="R6">
        <v>10.069215487840276</v>
      </c>
      <c r="T6" s="1">
        <v>42004</v>
      </c>
      <c r="U6">
        <v>10.069215487840276</v>
      </c>
      <c r="AM6">
        <v>1</v>
      </c>
      <c r="AN6" s="9">
        <f>INDEX($T$6:$T$3000,$AM6)</f>
        <v>42004</v>
      </c>
      <c r="AO6" s="10">
        <f t="shared" ref="AO6:AO30" si="0">INDEX($T$6:$T$3000,$AM6+1)</f>
        <v>42121</v>
      </c>
      <c r="AP6" s="12">
        <f t="shared" ref="AP6:AP30" si="1">INDEX($B:$B,MATCH($AO6,$A:$A,0))/INDEX($B:$B,MATCH($AN6,$A:$A,0))-1</f>
        <v>0.20455593265967376</v>
      </c>
      <c r="AQ6" s="14">
        <f>AO6-AN6</f>
        <v>117</v>
      </c>
    </row>
    <row r="7" spans="1:43" x14ac:dyDescent="0.3">
      <c r="A7" s="1">
        <v>42006</v>
      </c>
      <c r="B7">
        <v>23721.300781000002</v>
      </c>
      <c r="C7">
        <f t="shared" ref="C7:C70" si="2">LN(B7)</f>
        <v>10.074128690604686</v>
      </c>
      <c r="E7" s="1">
        <v>42065</v>
      </c>
      <c r="F7">
        <v>10.122118515541768</v>
      </c>
      <c r="H7" s="1">
        <v>42096</v>
      </c>
      <c r="I7">
        <v>10.137596389759352</v>
      </c>
      <c r="K7" s="1">
        <v>42096</v>
      </c>
      <c r="L7">
        <v>10.137596389759352</v>
      </c>
      <c r="N7" s="1">
        <v>42030</v>
      </c>
      <c r="O7">
        <v>10.123020609492711</v>
      </c>
      <c r="Q7" s="1">
        <v>42030</v>
      </c>
      <c r="R7">
        <v>10.123020609492711</v>
      </c>
      <c r="T7" s="1">
        <v>42121</v>
      </c>
      <c r="U7">
        <v>10.255326466248107</v>
      </c>
      <c r="AM7">
        <f>AM6+1</f>
        <v>2</v>
      </c>
      <c r="AN7" s="9">
        <f t="shared" ref="AN7:AN30" si="3">INDEX($T$6:$T$3000,$AM7)</f>
        <v>42121</v>
      </c>
      <c r="AO7" s="10">
        <f t="shared" si="0"/>
        <v>42254</v>
      </c>
      <c r="AP7" s="12">
        <f t="shared" si="1"/>
        <v>-0.2760843901902349</v>
      </c>
      <c r="AQ7" s="14">
        <f t="shared" ref="AQ7:AQ30" si="4">AO7-AN7</f>
        <v>133</v>
      </c>
    </row>
    <row r="8" spans="1:43" x14ac:dyDescent="0.3">
      <c r="A8" s="1">
        <v>42009</v>
      </c>
      <c r="B8">
        <v>23721.320313</v>
      </c>
      <c r="C8">
        <f t="shared" si="2"/>
        <v>10.074129513999328</v>
      </c>
      <c r="E8" s="1">
        <v>42074</v>
      </c>
      <c r="F8">
        <v>10.073988297301783</v>
      </c>
      <c r="H8" s="1">
        <v>42107</v>
      </c>
      <c r="I8">
        <v>10.240543184806144</v>
      </c>
      <c r="K8" s="1">
        <v>42107</v>
      </c>
      <c r="L8">
        <v>10.240543184806144</v>
      </c>
      <c r="N8" s="1">
        <v>42074</v>
      </c>
      <c r="O8">
        <v>10.073988297301783</v>
      </c>
      <c r="Q8" s="1">
        <v>42074</v>
      </c>
      <c r="R8">
        <v>10.073988297301783</v>
      </c>
      <c r="T8" s="1">
        <v>42254</v>
      </c>
      <c r="U8">
        <v>9.9322460118216842</v>
      </c>
      <c r="AM8">
        <f t="shared" ref="AM8:AM30" si="5">AM7+1</f>
        <v>3</v>
      </c>
      <c r="AN8" s="9">
        <f t="shared" si="3"/>
        <v>42254</v>
      </c>
      <c r="AO8" s="10">
        <f t="shared" si="0"/>
        <v>42300</v>
      </c>
      <c r="AP8" s="12">
        <f t="shared" si="1"/>
        <v>0.12478040590346096</v>
      </c>
      <c r="AQ8" s="14">
        <f t="shared" si="4"/>
        <v>46</v>
      </c>
    </row>
    <row r="9" spans="1:43" x14ac:dyDescent="0.3">
      <c r="A9" s="1">
        <v>42010</v>
      </c>
      <c r="B9">
        <v>23485.410156000002</v>
      </c>
      <c r="C9">
        <f t="shared" si="2"/>
        <v>10.064134662903014</v>
      </c>
      <c r="E9" s="1">
        <v>42096</v>
      </c>
      <c r="F9">
        <v>10.137596389759352</v>
      </c>
      <c r="H9" s="1">
        <v>42227</v>
      </c>
      <c r="I9">
        <v>10.106355370927739</v>
      </c>
      <c r="K9" s="1">
        <v>42369</v>
      </c>
      <c r="L9">
        <v>9.9948992518123898</v>
      </c>
      <c r="N9" s="1">
        <v>42121</v>
      </c>
      <c r="O9">
        <v>10.255326466248107</v>
      </c>
      <c r="Q9" s="1">
        <v>42121</v>
      </c>
      <c r="R9">
        <v>10.255326466248107</v>
      </c>
      <c r="T9" s="1">
        <v>42300</v>
      </c>
      <c r="U9">
        <v>10.049833833672613</v>
      </c>
      <c r="AM9">
        <f t="shared" si="5"/>
        <v>4</v>
      </c>
      <c r="AN9" s="9">
        <f t="shared" si="3"/>
        <v>42300</v>
      </c>
      <c r="AO9" s="10">
        <f t="shared" si="0"/>
        <v>42412</v>
      </c>
      <c r="AP9" s="12">
        <f t="shared" si="1"/>
        <v>-0.20872373931393595</v>
      </c>
      <c r="AQ9" s="14">
        <f t="shared" si="4"/>
        <v>112</v>
      </c>
    </row>
    <row r="10" spans="1:43" x14ac:dyDescent="0.3">
      <c r="A10" s="1">
        <v>42011</v>
      </c>
      <c r="B10">
        <v>23681.259765999999</v>
      </c>
      <c r="C10">
        <f t="shared" si="2"/>
        <v>10.072439287160597</v>
      </c>
      <c r="E10" s="1">
        <v>42107</v>
      </c>
      <c r="F10">
        <v>10.240543184806144</v>
      </c>
      <c r="H10" s="1">
        <v>42254</v>
      </c>
      <c r="I10">
        <v>9.9322460118216842</v>
      </c>
      <c r="K10" s="1">
        <v>42390</v>
      </c>
      <c r="L10">
        <v>9.8278018189635041</v>
      </c>
      <c r="N10" s="1">
        <v>42171</v>
      </c>
      <c r="O10">
        <v>10.187413801416849</v>
      </c>
      <c r="Q10" s="1">
        <v>42171</v>
      </c>
      <c r="R10">
        <v>10.187413801416849</v>
      </c>
      <c r="T10" s="1">
        <v>42412</v>
      </c>
      <c r="U10">
        <v>9.8157257164588696</v>
      </c>
      <c r="AM10">
        <f t="shared" si="5"/>
        <v>5</v>
      </c>
      <c r="AN10" s="9">
        <f t="shared" si="3"/>
        <v>42412</v>
      </c>
      <c r="AO10" s="10">
        <f t="shared" si="0"/>
        <v>42622</v>
      </c>
      <c r="AP10" s="12">
        <f t="shared" si="1"/>
        <v>0.31551591883600816</v>
      </c>
      <c r="AQ10" s="14">
        <f t="shared" si="4"/>
        <v>210</v>
      </c>
    </row>
    <row r="11" spans="1:43" x14ac:dyDescent="0.3">
      <c r="A11" s="1">
        <v>42012</v>
      </c>
      <c r="B11">
        <v>23835.529297000001</v>
      </c>
      <c r="C11">
        <f t="shared" si="2"/>
        <v>10.078932574105178</v>
      </c>
      <c r="E11" s="1">
        <v>42188</v>
      </c>
      <c r="F11">
        <v>10.168314527234187</v>
      </c>
      <c r="H11" s="1">
        <v>42284</v>
      </c>
      <c r="I11">
        <v>10.021970777047517</v>
      </c>
      <c r="K11" s="1">
        <v>42488</v>
      </c>
      <c r="L11">
        <v>9.9705866658544799</v>
      </c>
      <c r="N11" s="1">
        <v>42179</v>
      </c>
      <c r="O11">
        <v>10.218479688441148</v>
      </c>
      <c r="Q11" s="1">
        <v>42179</v>
      </c>
      <c r="R11">
        <v>10.218479688441148</v>
      </c>
      <c r="T11" s="1">
        <v>42622</v>
      </c>
      <c r="U11">
        <v>10.089954638861444</v>
      </c>
      <c r="AM11">
        <f t="shared" si="5"/>
        <v>6</v>
      </c>
      <c r="AN11" s="9">
        <f t="shared" si="3"/>
        <v>42622</v>
      </c>
      <c r="AO11" s="10">
        <f t="shared" si="0"/>
        <v>42727</v>
      </c>
      <c r="AP11" s="12">
        <f t="shared" si="1"/>
        <v>-0.10477057950206115</v>
      </c>
      <c r="AQ11" s="14">
        <f t="shared" si="4"/>
        <v>105</v>
      </c>
    </row>
    <row r="12" spans="1:43" x14ac:dyDescent="0.3">
      <c r="A12" s="1">
        <v>42013</v>
      </c>
      <c r="B12">
        <v>23919.949218999998</v>
      </c>
      <c r="C12">
        <f t="shared" si="2"/>
        <v>10.082468085110809</v>
      </c>
      <c r="E12" s="1">
        <v>42227</v>
      </c>
      <c r="F12">
        <v>10.106355370927739</v>
      </c>
      <c r="H12" s="1">
        <v>42369</v>
      </c>
      <c r="I12">
        <v>9.9948992518123898</v>
      </c>
      <c r="K12" s="1">
        <v>42514</v>
      </c>
      <c r="L12">
        <v>9.8949728898620357</v>
      </c>
      <c r="N12" s="1">
        <v>42193</v>
      </c>
      <c r="O12">
        <v>10.065460156072549</v>
      </c>
      <c r="Q12" s="1">
        <v>42254</v>
      </c>
      <c r="R12">
        <v>9.9322460118216842</v>
      </c>
      <c r="T12" s="1">
        <v>42727</v>
      </c>
      <c r="U12">
        <v>9.9792793810576548</v>
      </c>
      <c r="AM12">
        <f t="shared" si="5"/>
        <v>7</v>
      </c>
      <c r="AN12" s="9">
        <f t="shared" si="3"/>
        <v>42727</v>
      </c>
      <c r="AO12" s="10">
        <f t="shared" si="0"/>
        <v>42894</v>
      </c>
      <c r="AP12" s="12">
        <f t="shared" si="1"/>
        <v>0.2080347975912662</v>
      </c>
      <c r="AQ12" s="14">
        <f t="shared" si="4"/>
        <v>167</v>
      </c>
    </row>
    <row r="13" spans="1:43" x14ac:dyDescent="0.3">
      <c r="A13" s="1">
        <v>42016</v>
      </c>
      <c r="B13">
        <v>24026.460938</v>
      </c>
      <c r="C13">
        <f t="shared" si="2"/>
        <v>10.086911041063578</v>
      </c>
      <c r="E13" s="1">
        <v>42254</v>
      </c>
      <c r="F13">
        <v>9.9322460118216842</v>
      </c>
      <c r="H13" s="1">
        <v>42390</v>
      </c>
      <c r="I13">
        <v>9.8278018189635041</v>
      </c>
      <c r="K13" s="1">
        <v>42649</v>
      </c>
      <c r="L13">
        <v>10.083827981525028</v>
      </c>
      <c r="N13" s="1">
        <v>42206</v>
      </c>
      <c r="O13">
        <v>10.147861326862353</v>
      </c>
      <c r="Q13" s="1">
        <v>42300</v>
      </c>
      <c r="R13">
        <v>10.049833833672613</v>
      </c>
      <c r="T13" s="1">
        <v>42894</v>
      </c>
      <c r="U13">
        <v>10.16827428610843</v>
      </c>
      <c r="AM13">
        <f t="shared" si="5"/>
        <v>8</v>
      </c>
      <c r="AN13" s="9">
        <f t="shared" si="3"/>
        <v>42894</v>
      </c>
      <c r="AO13" s="10">
        <f t="shared" si="0"/>
        <v>42923</v>
      </c>
      <c r="AP13" s="12">
        <f t="shared" si="1"/>
        <v>-2.7710135450041418E-2</v>
      </c>
      <c r="AQ13" s="14">
        <f t="shared" si="4"/>
        <v>29</v>
      </c>
    </row>
    <row r="14" spans="1:43" x14ac:dyDescent="0.3">
      <c r="A14" s="1">
        <v>42017</v>
      </c>
      <c r="B14">
        <v>24215.970702999999</v>
      </c>
      <c r="C14">
        <f t="shared" si="2"/>
        <v>10.094767640880869</v>
      </c>
      <c r="E14" s="1">
        <v>42256</v>
      </c>
      <c r="F14">
        <v>10.004748651671212</v>
      </c>
      <c r="H14" s="1">
        <v>42488</v>
      </c>
      <c r="I14">
        <v>9.9705866658544799</v>
      </c>
      <c r="K14" s="1">
        <v>42727</v>
      </c>
      <c r="L14">
        <v>9.9792793810576548</v>
      </c>
      <c r="N14" s="1">
        <v>42254</v>
      </c>
      <c r="O14">
        <v>9.9322460118216842</v>
      </c>
      <c r="Q14" s="1">
        <v>42412</v>
      </c>
      <c r="R14">
        <v>9.8157257164588696</v>
      </c>
      <c r="T14" s="1">
        <v>42923</v>
      </c>
      <c r="U14">
        <v>10.140172981687179</v>
      </c>
      <c r="AM14">
        <f t="shared" si="5"/>
        <v>9</v>
      </c>
      <c r="AN14" s="9">
        <f t="shared" si="3"/>
        <v>42923</v>
      </c>
      <c r="AO14" s="10">
        <f t="shared" si="0"/>
        <v>43126</v>
      </c>
      <c r="AP14" s="12">
        <f t="shared" si="1"/>
        <v>0.30832713210314222</v>
      </c>
      <c r="AQ14" s="14">
        <f t="shared" si="4"/>
        <v>203</v>
      </c>
    </row>
    <row r="15" spans="1:43" x14ac:dyDescent="0.3">
      <c r="A15" s="1">
        <v>42018</v>
      </c>
      <c r="B15">
        <v>24112.599609000001</v>
      </c>
      <c r="C15">
        <f t="shared" si="2"/>
        <v>10.090489788216338</v>
      </c>
      <c r="E15" s="1">
        <v>42276</v>
      </c>
      <c r="F15">
        <v>9.930937317223572</v>
      </c>
      <c r="H15" s="1">
        <v>42514</v>
      </c>
      <c r="I15">
        <v>9.8949728898620357</v>
      </c>
      <c r="K15" s="1">
        <v>43068</v>
      </c>
      <c r="L15">
        <v>10.296334386619666</v>
      </c>
      <c r="N15" s="1">
        <v>42256</v>
      </c>
      <c r="O15">
        <v>10.004748651671212</v>
      </c>
      <c r="Q15" s="1">
        <v>42481</v>
      </c>
      <c r="R15">
        <v>9.9814781560835328</v>
      </c>
      <c r="T15" s="1">
        <v>43126</v>
      </c>
      <c r="U15">
        <v>10.408922304448431</v>
      </c>
      <c r="AM15">
        <f t="shared" si="5"/>
        <v>10</v>
      </c>
      <c r="AN15" s="9">
        <f t="shared" si="3"/>
        <v>43126</v>
      </c>
      <c r="AO15" s="10">
        <f t="shared" si="0"/>
        <v>43194</v>
      </c>
      <c r="AP15" s="12">
        <f t="shared" si="1"/>
        <v>-0.10965248123129756</v>
      </c>
      <c r="AQ15" s="14">
        <f t="shared" si="4"/>
        <v>68</v>
      </c>
    </row>
    <row r="16" spans="1:43" x14ac:dyDescent="0.3">
      <c r="A16" s="1">
        <v>42019</v>
      </c>
      <c r="B16">
        <v>24350.910156000002</v>
      </c>
      <c r="C16">
        <f t="shared" si="2"/>
        <v>10.100324505882009</v>
      </c>
      <c r="E16" s="1">
        <v>42284</v>
      </c>
      <c r="F16">
        <v>10.021970777047517</v>
      </c>
      <c r="H16" s="1">
        <v>42649</v>
      </c>
      <c r="I16">
        <v>10.083827981525028</v>
      </c>
      <c r="K16" s="1">
        <v>43258</v>
      </c>
      <c r="L16">
        <v>10.358143724093662</v>
      </c>
      <c r="N16" s="1">
        <v>42276</v>
      </c>
      <c r="O16">
        <v>9.930937317223572</v>
      </c>
      <c r="Q16" s="1">
        <v>42549</v>
      </c>
      <c r="R16">
        <v>9.9120736333222244</v>
      </c>
      <c r="T16" s="1">
        <v>43194</v>
      </c>
      <c r="U16">
        <v>10.292778882505335</v>
      </c>
      <c r="AM16">
        <f t="shared" si="5"/>
        <v>11</v>
      </c>
      <c r="AN16" s="9">
        <f t="shared" si="3"/>
        <v>43194</v>
      </c>
      <c r="AO16" s="10">
        <f t="shared" si="0"/>
        <v>43234</v>
      </c>
      <c r="AP16" s="12">
        <f t="shared" si="1"/>
        <v>6.8512209128392065E-2</v>
      </c>
      <c r="AQ16" s="14">
        <f t="shared" si="4"/>
        <v>40</v>
      </c>
    </row>
    <row r="17" spans="1:43" x14ac:dyDescent="0.3">
      <c r="A17" s="1">
        <v>42020</v>
      </c>
      <c r="B17">
        <v>24103.519531000002</v>
      </c>
      <c r="C17">
        <f t="shared" si="2"/>
        <v>10.09011314744685</v>
      </c>
      <c r="E17" s="1">
        <v>42369</v>
      </c>
      <c r="F17">
        <v>9.9948992518123898</v>
      </c>
      <c r="H17" s="1">
        <v>42727</v>
      </c>
      <c r="I17">
        <v>9.9792793810576548</v>
      </c>
      <c r="K17" s="1">
        <v>43403</v>
      </c>
      <c r="L17">
        <v>10.109913308880101</v>
      </c>
      <c r="N17" s="1">
        <v>42300</v>
      </c>
      <c r="O17">
        <v>10.049833833672613</v>
      </c>
      <c r="Q17" s="1">
        <v>42622</v>
      </c>
      <c r="R17">
        <v>10.089954638861444</v>
      </c>
      <c r="T17" s="1">
        <v>43234</v>
      </c>
      <c r="U17">
        <v>10.35904610463583</v>
      </c>
      <c r="AM17">
        <f t="shared" si="5"/>
        <v>12</v>
      </c>
      <c r="AN17" s="9">
        <f t="shared" si="3"/>
        <v>43234</v>
      </c>
      <c r="AO17" s="10">
        <f t="shared" si="0"/>
        <v>43403</v>
      </c>
      <c r="AP17" s="12">
        <f t="shared" si="1"/>
        <v>-0.22052354465348556</v>
      </c>
      <c r="AQ17" s="14">
        <f t="shared" si="4"/>
        <v>169</v>
      </c>
    </row>
    <row r="18" spans="1:43" x14ac:dyDescent="0.3">
      <c r="A18" s="1">
        <v>42023</v>
      </c>
      <c r="B18">
        <v>23738.490234000001</v>
      </c>
      <c r="C18">
        <f t="shared" si="2"/>
        <v>10.074853070269409</v>
      </c>
      <c r="E18" s="1">
        <v>42390</v>
      </c>
      <c r="F18">
        <v>9.8278018189635041</v>
      </c>
      <c r="H18" s="1">
        <v>42788</v>
      </c>
      <c r="I18">
        <v>10.094188939357853</v>
      </c>
      <c r="K18" s="1">
        <v>43588</v>
      </c>
      <c r="L18">
        <v>10.311667331954267</v>
      </c>
      <c r="N18" s="1">
        <v>42324</v>
      </c>
      <c r="O18">
        <v>9.9992894438396274</v>
      </c>
      <c r="Q18" s="1">
        <v>42727</v>
      </c>
      <c r="R18">
        <v>9.9792793810576548</v>
      </c>
      <c r="T18" s="1">
        <v>43403</v>
      </c>
      <c r="U18">
        <v>10.109913308880101</v>
      </c>
      <c r="AM18">
        <f t="shared" si="5"/>
        <v>13</v>
      </c>
      <c r="AN18" s="9">
        <f t="shared" si="3"/>
        <v>43403</v>
      </c>
      <c r="AO18" s="10">
        <f t="shared" si="0"/>
        <v>43564</v>
      </c>
      <c r="AP18" s="12">
        <f t="shared" si="1"/>
        <v>0.22663579334368467</v>
      </c>
      <c r="AQ18" s="14">
        <f t="shared" si="4"/>
        <v>161</v>
      </c>
    </row>
    <row r="19" spans="1:43" x14ac:dyDescent="0.3">
      <c r="A19" s="1">
        <v>42024</v>
      </c>
      <c r="B19">
        <v>23951.160156000002</v>
      </c>
      <c r="C19">
        <f t="shared" si="2"/>
        <v>10.083772042417412</v>
      </c>
      <c r="E19" s="1">
        <v>42488</v>
      </c>
      <c r="F19">
        <v>9.9705866658544799</v>
      </c>
      <c r="H19" s="1">
        <v>43068</v>
      </c>
      <c r="I19">
        <v>10.296334386619666</v>
      </c>
      <c r="K19" s="1">
        <v>43690</v>
      </c>
      <c r="L19">
        <v>10.137820301881654</v>
      </c>
      <c r="N19" s="1">
        <v>42328</v>
      </c>
      <c r="O19">
        <v>10.032527906281809</v>
      </c>
      <c r="Q19" s="1">
        <v>42894</v>
      </c>
      <c r="R19">
        <v>10.16827428610843</v>
      </c>
      <c r="T19" s="1">
        <v>43564</v>
      </c>
      <c r="U19">
        <v>10.314188603606278</v>
      </c>
      <c r="AM19">
        <f t="shared" si="5"/>
        <v>14</v>
      </c>
      <c r="AN19" s="9">
        <f t="shared" si="3"/>
        <v>43564</v>
      </c>
      <c r="AO19" s="10">
        <f t="shared" si="0"/>
        <v>43690</v>
      </c>
      <c r="AP19" s="12">
        <f t="shared" si="1"/>
        <v>-0.1616908242418168</v>
      </c>
      <c r="AQ19" s="14">
        <f t="shared" si="4"/>
        <v>126</v>
      </c>
    </row>
    <row r="20" spans="1:43" x14ac:dyDescent="0.3">
      <c r="A20" s="1">
        <v>42025</v>
      </c>
      <c r="B20">
        <v>24352.580077999999</v>
      </c>
      <c r="C20">
        <f t="shared" si="2"/>
        <v>10.100393080926327</v>
      </c>
      <c r="E20" s="1">
        <v>42514</v>
      </c>
      <c r="F20">
        <v>9.8949728898620357</v>
      </c>
      <c r="H20" s="1">
        <v>43075</v>
      </c>
      <c r="I20">
        <v>10.247956330746717</v>
      </c>
      <c r="K20" s="1">
        <v>43843</v>
      </c>
      <c r="L20">
        <v>10.27349608858535</v>
      </c>
      <c r="N20" s="1">
        <v>42390</v>
      </c>
      <c r="O20">
        <v>9.8278018189635041</v>
      </c>
      <c r="Q20" s="1">
        <v>42923</v>
      </c>
      <c r="R20">
        <v>10.140172981687179</v>
      </c>
      <c r="T20" s="1">
        <v>43690</v>
      </c>
      <c r="U20">
        <v>10.137820301881654</v>
      </c>
      <c r="AM20">
        <f t="shared" si="5"/>
        <v>15</v>
      </c>
      <c r="AN20" s="9">
        <f t="shared" si="3"/>
        <v>43690</v>
      </c>
      <c r="AO20" s="10">
        <f t="shared" si="0"/>
        <v>43847</v>
      </c>
      <c r="AP20" s="12">
        <f t="shared" si="1"/>
        <v>0.14932456101456482</v>
      </c>
      <c r="AQ20" s="14">
        <f t="shared" si="4"/>
        <v>157</v>
      </c>
    </row>
    <row r="21" spans="1:43" x14ac:dyDescent="0.3">
      <c r="A21" s="1">
        <v>42026</v>
      </c>
      <c r="B21">
        <v>24522.630859000001</v>
      </c>
      <c r="C21">
        <f t="shared" si="2"/>
        <v>10.107351678707237</v>
      </c>
      <c r="E21" s="1">
        <v>42528</v>
      </c>
      <c r="F21">
        <v>9.9677873061397495</v>
      </c>
      <c r="H21" s="1">
        <v>43126</v>
      </c>
      <c r="I21">
        <v>10.408922304448431</v>
      </c>
      <c r="K21" s="1">
        <v>43915</v>
      </c>
      <c r="L21">
        <v>10.065912029325887</v>
      </c>
      <c r="N21" s="1">
        <v>42398</v>
      </c>
      <c r="O21">
        <v>9.8875161548232349</v>
      </c>
      <c r="Q21" s="1">
        <v>43126</v>
      </c>
      <c r="R21">
        <v>10.408922304448431</v>
      </c>
      <c r="T21" s="1">
        <v>43847</v>
      </c>
      <c r="U21">
        <v>10.276994733457933</v>
      </c>
      <c r="AM21">
        <f t="shared" si="5"/>
        <v>16</v>
      </c>
      <c r="AN21" s="9">
        <f t="shared" si="3"/>
        <v>43847</v>
      </c>
      <c r="AO21" s="10">
        <f t="shared" si="0"/>
        <v>43973</v>
      </c>
      <c r="AP21" s="12">
        <f t="shared" si="1"/>
        <v>-0.2108408163650437</v>
      </c>
      <c r="AQ21" s="14">
        <f t="shared" si="4"/>
        <v>126</v>
      </c>
    </row>
    <row r="22" spans="1:43" x14ac:dyDescent="0.3">
      <c r="A22" s="1">
        <v>42027</v>
      </c>
      <c r="B22">
        <v>24850.449218999998</v>
      </c>
      <c r="C22">
        <f t="shared" si="2"/>
        <v>10.120631108584723</v>
      </c>
      <c r="E22" s="1">
        <v>42537</v>
      </c>
      <c r="F22">
        <v>9.9054067058826902</v>
      </c>
      <c r="H22" s="1">
        <v>43143</v>
      </c>
      <c r="I22">
        <v>10.290776159693717</v>
      </c>
      <c r="K22" s="1">
        <v>44067</v>
      </c>
      <c r="L22">
        <v>10.148454436302847</v>
      </c>
      <c r="N22" s="1">
        <v>42412</v>
      </c>
      <c r="O22">
        <v>9.8157257164588696</v>
      </c>
      <c r="Q22" s="1">
        <v>43194</v>
      </c>
      <c r="R22">
        <v>10.292778882505335</v>
      </c>
      <c r="T22" s="1">
        <v>43973</v>
      </c>
      <c r="U22">
        <v>10.040207508628608</v>
      </c>
      <c r="AM22">
        <f t="shared" si="5"/>
        <v>17</v>
      </c>
      <c r="AN22" s="9">
        <f t="shared" si="3"/>
        <v>43973</v>
      </c>
      <c r="AO22" s="10">
        <f t="shared" si="0"/>
        <v>44018</v>
      </c>
      <c r="AP22" s="12">
        <f t="shared" si="1"/>
        <v>0.1486698048106716</v>
      </c>
      <c r="AQ22" s="14">
        <f t="shared" si="4"/>
        <v>45</v>
      </c>
    </row>
    <row r="23" spans="1:43" x14ac:dyDescent="0.3">
      <c r="A23" s="1">
        <v>42030</v>
      </c>
      <c r="B23">
        <v>24909.900390999999</v>
      </c>
      <c r="C23">
        <f t="shared" si="2"/>
        <v>10.123020609492711</v>
      </c>
      <c r="E23" s="1">
        <v>42578</v>
      </c>
      <c r="F23">
        <v>10.008702618146609</v>
      </c>
      <c r="H23" s="1">
        <v>43179</v>
      </c>
      <c r="I23">
        <v>10.359326639377336</v>
      </c>
      <c r="K23" s="1">
        <v>44098</v>
      </c>
      <c r="L23">
        <v>10.05668364744929</v>
      </c>
      <c r="N23" s="1">
        <v>42481</v>
      </c>
      <c r="O23">
        <v>9.9814781560835328</v>
      </c>
      <c r="Q23" s="1">
        <v>43234</v>
      </c>
      <c r="R23">
        <v>10.35904610463583</v>
      </c>
      <c r="T23" s="1">
        <v>44018</v>
      </c>
      <c r="U23">
        <v>10.178812090050902</v>
      </c>
      <c r="AM23">
        <f t="shared" si="5"/>
        <v>18</v>
      </c>
      <c r="AN23" s="9">
        <f t="shared" si="3"/>
        <v>44018</v>
      </c>
      <c r="AO23" s="10">
        <f t="shared" si="0"/>
        <v>44098</v>
      </c>
      <c r="AP23" s="12">
        <f t="shared" si="1"/>
        <v>-0.11496531495557993</v>
      </c>
      <c r="AQ23" s="14">
        <f t="shared" si="4"/>
        <v>80</v>
      </c>
    </row>
    <row r="24" spans="1:43" x14ac:dyDescent="0.3">
      <c r="A24" s="1">
        <v>42031</v>
      </c>
      <c r="B24">
        <v>24807.279297000001</v>
      </c>
      <c r="C24">
        <f t="shared" si="2"/>
        <v>10.118892409124816</v>
      </c>
      <c r="E24" s="1">
        <v>42649</v>
      </c>
      <c r="F24">
        <v>10.083827981525028</v>
      </c>
      <c r="H24" s="1">
        <v>43258</v>
      </c>
      <c r="I24">
        <v>10.358143724093662</v>
      </c>
      <c r="K24" s="1">
        <v>44244</v>
      </c>
      <c r="L24">
        <v>10.344478718913219</v>
      </c>
      <c r="N24" s="1">
        <v>42549</v>
      </c>
      <c r="O24">
        <v>9.9120736333222244</v>
      </c>
      <c r="Q24" s="1">
        <v>43300</v>
      </c>
      <c r="R24">
        <v>10.240347548790284</v>
      </c>
      <c r="T24" s="1">
        <v>44098</v>
      </c>
      <c r="U24">
        <v>10.05668364744929</v>
      </c>
      <c r="AM24">
        <f t="shared" si="5"/>
        <v>19</v>
      </c>
      <c r="AN24" s="9">
        <f t="shared" si="3"/>
        <v>44098</v>
      </c>
      <c r="AO24" s="10">
        <f t="shared" si="0"/>
        <v>44244</v>
      </c>
      <c r="AP24" s="12">
        <f t="shared" si="1"/>
        <v>0.3334840071957017</v>
      </c>
      <c r="AQ24" s="14">
        <f t="shared" si="4"/>
        <v>146</v>
      </c>
    </row>
    <row r="25" spans="1:43" x14ac:dyDescent="0.3">
      <c r="A25" s="1">
        <v>42032</v>
      </c>
      <c r="B25">
        <v>24861.810547000001</v>
      </c>
      <c r="C25">
        <f t="shared" si="2"/>
        <v>10.121088192139215</v>
      </c>
      <c r="E25" s="1">
        <v>42688</v>
      </c>
      <c r="F25">
        <v>10.008847999828951</v>
      </c>
      <c r="H25" s="1">
        <v>43278</v>
      </c>
      <c r="I25">
        <v>10.252603087816006</v>
      </c>
      <c r="K25" s="1">
        <v>44550</v>
      </c>
      <c r="L25">
        <v>10.03209443730748</v>
      </c>
      <c r="N25" s="1">
        <v>42578</v>
      </c>
      <c r="O25">
        <v>10.008702618146609</v>
      </c>
      <c r="Q25" s="1">
        <v>43306</v>
      </c>
      <c r="R25">
        <v>10.272319809640058</v>
      </c>
      <c r="T25" s="1">
        <v>44244</v>
      </c>
      <c r="U25">
        <v>10.344478718913219</v>
      </c>
      <c r="AM25">
        <f t="shared" si="5"/>
        <v>20</v>
      </c>
      <c r="AN25" s="9">
        <f t="shared" si="3"/>
        <v>44244</v>
      </c>
      <c r="AO25" s="10">
        <f t="shared" si="0"/>
        <v>44550</v>
      </c>
      <c r="AP25" s="12">
        <f t="shared" si="1"/>
        <v>-0.26829970476893117</v>
      </c>
      <c r="AQ25" s="14">
        <f t="shared" si="4"/>
        <v>306</v>
      </c>
    </row>
    <row r="26" spans="1:43" x14ac:dyDescent="0.3">
      <c r="A26" s="1">
        <v>42033</v>
      </c>
      <c r="B26">
        <v>24595.849609000001</v>
      </c>
      <c r="C26">
        <f t="shared" si="2"/>
        <v>10.110332992605162</v>
      </c>
      <c r="E26" s="1">
        <v>42712</v>
      </c>
      <c r="F26">
        <v>10.03722441722482</v>
      </c>
      <c r="H26" s="1">
        <v>43371</v>
      </c>
      <c r="I26">
        <v>10.232378247873784</v>
      </c>
      <c r="K26" s="1">
        <v>44609</v>
      </c>
      <c r="L26">
        <v>10.118307338474414</v>
      </c>
      <c r="N26" s="1">
        <v>42585</v>
      </c>
      <c r="O26">
        <v>9.9868686419610437</v>
      </c>
      <c r="Q26" s="1">
        <v>43403</v>
      </c>
      <c r="R26">
        <v>10.109913308880101</v>
      </c>
      <c r="T26" s="1">
        <v>44550</v>
      </c>
      <c r="U26">
        <v>10.03209443730748</v>
      </c>
      <c r="AM26">
        <f t="shared" si="5"/>
        <v>21</v>
      </c>
      <c r="AN26" s="9">
        <f t="shared" si="3"/>
        <v>44550</v>
      </c>
      <c r="AO26" s="10">
        <f t="shared" si="0"/>
        <v>44582</v>
      </c>
      <c r="AP26" s="12">
        <f t="shared" si="1"/>
        <v>9.7634870780554106E-2</v>
      </c>
      <c r="AQ26" s="14">
        <f t="shared" si="4"/>
        <v>32</v>
      </c>
    </row>
    <row r="27" spans="1:43" x14ac:dyDescent="0.3">
      <c r="A27" s="1">
        <v>42034</v>
      </c>
      <c r="B27">
        <v>24507.050781000002</v>
      </c>
      <c r="C27">
        <f t="shared" si="2"/>
        <v>10.106716142109681</v>
      </c>
      <c r="E27" s="1">
        <v>42727</v>
      </c>
      <c r="F27">
        <v>9.9792793810576548</v>
      </c>
      <c r="H27" s="1">
        <v>43403</v>
      </c>
      <c r="I27">
        <v>10.109913308880101</v>
      </c>
      <c r="K27" s="1">
        <v>44631</v>
      </c>
      <c r="L27">
        <v>9.9308005855557298</v>
      </c>
      <c r="N27" s="1">
        <v>42622</v>
      </c>
      <c r="O27">
        <v>10.089954638861444</v>
      </c>
      <c r="Q27" s="1">
        <v>43438</v>
      </c>
      <c r="R27">
        <v>10.213191825920292</v>
      </c>
      <c r="T27" s="1">
        <v>44582</v>
      </c>
      <c r="U27">
        <v>10.125252184818322</v>
      </c>
      <c r="AM27">
        <f t="shared" si="5"/>
        <v>22</v>
      </c>
      <c r="AN27" s="9">
        <f t="shared" si="3"/>
        <v>44582</v>
      </c>
      <c r="AO27" s="10">
        <f t="shared" si="0"/>
        <v>44797</v>
      </c>
      <c r="AP27" s="12">
        <f t="shared" si="1"/>
        <v>-0.22818685623934043</v>
      </c>
      <c r="AQ27" s="14">
        <f t="shared" si="4"/>
        <v>215</v>
      </c>
    </row>
    <row r="28" spans="1:43" x14ac:dyDescent="0.3">
      <c r="A28" s="1">
        <v>42037</v>
      </c>
      <c r="B28">
        <v>24484.740234000001</v>
      </c>
      <c r="C28">
        <f t="shared" si="2"/>
        <v>10.10580535489084</v>
      </c>
      <c r="E28" s="1">
        <v>42788</v>
      </c>
      <c r="F28">
        <v>10.094188939357853</v>
      </c>
      <c r="H28" s="1">
        <v>43588</v>
      </c>
      <c r="I28">
        <v>10.311667331954267</v>
      </c>
      <c r="K28" s="1">
        <v>44813</v>
      </c>
      <c r="L28">
        <v>9.8710805730859263</v>
      </c>
      <c r="N28" s="1">
        <v>42656</v>
      </c>
      <c r="O28">
        <v>10.044609473243129</v>
      </c>
      <c r="Q28" s="1">
        <v>43467</v>
      </c>
      <c r="R28">
        <v>10.131831542458375</v>
      </c>
      <c r="T28" s="1">
        <v>44797</v>
      </c>
      <c r="U28">
        <v>9.8662393848033236</v>
      </c>
      <c r="AM28">
        <f t="shared" si="5"/>
        <v>23</v>
      </c>
      <c r="AN28" s="9">
        <f t="shared" si="3"/>
        <v>44797</v>
      </c>
      <c r="AO28" s="10">
        <f t="shared" si="0"/>
        <v>44799</v>
      </c>
      <c r="AP28" s="12">
        <f t="shared" si="1"/>
        <v>4.6775181877725558E-2</v>
      </c>
      <c r="AQ28" s="14">
        <f t="shared" si="4"/>
        <v>2</v>
      </c>
    </row>
    <row r="29" spans="1:43" x14ac:dyDescent="0.3">
      <c r="A29" s="1">
        <v>42038</v>
      </c>
      <c r="B29">
        <v>24554.779297000001</v>
      </c>
      <c r="C29">
        <f t="shared" si="2"/>
        <v>10.108661790324623</v>
      </c>
      <c r="E29" s="1">
        <v>42843</v>
      </c>
      <c r="F29">
        <v>10.082659950221249</v>
      </c>
      <c r="H29" s="1">
        <v>43620</v>
      </c>
      <c r="I29">
        <v>10.194720296299689</v>
      </c>
      <c r="K29" s="1">
        <v>44865</v>
      </c>
      <c r="L29">
        <v>9.5947193575684615</v>
      </c>
      <c r="N29" s="1">
        <v>42667</v>
      </c>
      <c r="O29">
        <v>10.069174860731888</v>
      </c>
      <c r="Q29" s="1">
        <v>43564</v>
      </c>
      <c r="R29">
        <v>10.314188603606278</v>
      </c>
      <c r="T29" s="1">
        <v>44799</v>
      </c>
      <c r="U29">
        <v>9.9119535676345336</v>
      </c>
      <c r="AM29">
        <f t="shared" si="5"/>
        <v>24</v>
      </c>
      <c r="AN29" s="9">
        <f t="shared" si="3"/>
        <v>44799</v>
      </c>
      <c r="AO29" s="10">
        <f t="shared" si="0"/>
        <v>44865</v>
      </c>
      <c r="AP29" s="12">
        <f t="shared" si="1"/>
        <v>-0.27183980729408075</v>
      </c>
      <c r="AQ29" s="14">
        <f t="shared" si="4"/>
        <v>66</v>
      </c>
    </row>
    <row r="30" spans="1:43" x14ac:dyDescent="0.3">
      <c r="A30" s="1">
        <v>42039</v>
      </c>
      <c r="B30">
        <v>24679.759765999999</v>
      </c>
      <c r="C30">
        <f t="shared" si="2"/>
        <v>10.113738744017329</v>
      </c>
      <c r="E30" s="1">
        <v>42888</v>
      </c>
      <c r="F30">
        <v>10.162926418386917</v>
      </c>
      <c r="H30" s="1">
        <v>43671</v>
      </c>
      <c r="I30">
        <v>10.260962703558755</v>
      </c>
      <c r="K30" s="1">
        <v>44880</v>
      </c>
      <c r="L30">
        <v>9.8170098044685279</v>
      </c>
      <c r="N30" s="1">
        <v>42727</v>
      </c>
      <c r="O30">
        <v>9.9792793810576548</v>
      </c>
      <c r="Q30" s="1">
        <v>43690</v>
      </c>
      <c r="R30">
        <v>10.137820301881654</v>
      </c>
      <c r="T30" s="1">
        <v>44865</v>
      </c>
      <c r="U30">
        <v>9.5947193575684615</v>
      </c>
      <c r="AM30">
        <f t="shared" si="5"/>
        <v>25</v>
      </c>
      <c r="AN30" s="9">
        <f t="shared" si="3"/>
        <v>44865</v>
      </c>
      <c r="AO30" s="10">
        <f t="shared" si="0"/>
        <v>44960</v>
      </c>
      <c r="AP30" s="12">
        <f t="shared" si="1"/>
        <v>0.47480369705242675</v>
      </c>
      <c r="AQ30" s="14">
        <f t="shared" si="4"/>
        <v>95</v>
      </c>
    </row>
    <row r="31" spans="1:43" x14ac:dyDescent="0.3">
      <c r="A31" s="1">
        <v>42040</v>
      </c>
      <c r="B31">
        <v>24765.490234000001</v>
      </c>
      <c r="C31">
        <f t="shared" si="2"/>
        <v>10.117206440263519</v>
      </c>
      <c r="E31" s="1">
        <v>42923</v>
      </c>
      <c r="F31">
        <v>10.140172981687179</v>
      </c>
      <c r="H31" s="1">
        <v>43690</v>
      </c>
      <c r="I31">
        <v>10.137820301881654</v>
      </c>
      <c r="K31" s="1">
        <v>44960</v>
      </c>
      <c r="L31">
        <v>9.9832442517593005</v>
      </c>
      <c r="N31" s="1">
        <v>42815</v>
      </c>
      <c r="O31">
        <v>10.110221973078948</v>
      </c>
      <c r="Q31" s="1">
        <v>43776</v>
      </c>
      <c r="R31">
        <v>10.234488795850348</v>
      </c>
      <c r="T31" s="1">
        <v>44960</v>
      </c>
      <c r="U31">
        <v>9.9832442517593005</v>
      </c>
    </row>
    <row r="32" spans="1:43" x14ac:dyDescent="0.3">
      <c r="A32" s="1">
        <v>42041</v>
      </c>
      <c r="B32">
        <v>24679.390625</v>
      </c>
      <c r="C32">
        <f t="shared" si="2"/>
        <v>10.113723786669114</v>
      </c>
      <c r="E32" s="1">
        <v>42955</v>
      </c>
      <c r="F32">
        <v>10.234764537032374</v>
      </c>
      <c r="H32" s="1">
        <v>43777</v>
      </c>
      <c r="I32">
        <v>10.227422258360027</v>
      </c>
      <c r="N32" s="1">
        <v>42844</v>
      </c>
      <c r="O32">
        <v>10.078527699885123</v>
      </c>
      <c r="Q32" s="1">
        <v>43803</v>
      </c>
      <c r="R32">
        <v>10.168255101684741</v>
      </c>
    </row>
    <row r="33" spans="1:18" x14ac:dyDescent="0.3">
      <c r="A33" s="1">
        <v>42044</v>
      </c>
      <c r="B33">
        <v>24521</v>
      </c>
      <c r="C33">
        <f t="shared" si="2"/>
        <v>10.1072851722528</v>
      </c>
      <c r="E33" s="1">
        <v>42958</v>
      </c>
      <c r="F33">
        <v>10.199268357765135</v>
      </c>
      <c r="H33" s="1">
        <v>43803</v>
      </c>
      <c r="I33">
        <v>10.168255101684741</v>
      </c>
      <c r="N33" s="1">
        <v>42894</v>
      </c>
      <c r="O33">
        <v>10.16827428610843</v>
      </c>
      <c r="Q33" s="1">
        <v>43847</v>
      </c>
      <c r="R33">
        <v>10.276994733457933</v>
      </c>
    </row>
    <row r="34" spans="1:18" x14ac:dyDescent="0.3">
      <c r="A34" s="1">
        <v>42045</v>
      </c>
      <c r="B34">
        <v>24528.099609000001</v>
      </c>
      <c r="C34">
        <f t="shared" si="2"/>
        <v>10.107574662135638</v>
      </c>
      <c r="E34" s="1">
        <v>43068</v>
      </c>
      <c r="F34">
        <v>10.296334386619666</v>
      </c>
      <c r="H34" s="1">
        <v>43843</v>
      </c>
      <c r="I34">
        <v>10.27349608858535</v>
      </c>
      <c r="N34" s="1">
        <v>42923</v>
      </c>
      <c r="O34">
        <v>10.140172981687179</v>
      </c>
      <c r="Q34" s="1">
        <v>43913</v>
      </c>
      <c r="R34">
        <v>9.9848892222023906</v>
      </c>
    </row>
    <row r="35" spans="1:18" x14ac:dyDescent="0.3">
      <c r="A35" s="1">
        <v>42046</v>
      </c>
      <c r="B35">
        <v>24315.019531000002</v>
      </c>
      <c r="C35">
        <f t="shared" si="2"/>
        <v>10.098849526086587</v>
      </c>
      <c r="E35" s="1">
        <v>43075</v>
      </c>
      <c r="F35">
        <v>10.247956330746717</v>
      </c>
      <c r="H35" s="1">
        <v>43895</v>
      </c>
      <c r="I35">
        <v>10.194957534578972</v>
      </c>
      <c r="N35" s="1">
        <v>42955</v>
      </c>
      <c r="O35">
        <v>10.234764537032374</v>
      </c>
      <c r="Q35" s="1">
        <v>43935</v>
      </c>
      <c r="R35">
        <v>10.103788195532765</v>
      </c>
    </row>
    <row r="36" spans="1:18" x14ac:dyDescent="0.3">
      <c r="A36" s="1">
        <v>42047</v>
      </c>
      <c r="B36">
        <v>24422.150390999999</v>
      </c>
      <c r="C36">
        <f t="shared" si="2"/>
        <v>10.103245802387274</v>
      </c>
      <c r="E36" s="1">
        <v>43126</v>
      </c>
      <c r="F36">
        <v>10.408922304448431</v>
      </c>
      <c r="H36" s="1">
        <v>43913</v>
      </c>
      <c r="I36">
        <v>9.9848892222023906</v>
      </c>
      <c r="N36" s="1">
        <v>42958</v>
      </c>
      <c r="O36">
        <v>10.199268357765135</v>
      </c>
      <c r="Q36" s="1">
        <v>43973</v>
      </c>
      <c r="R36">
        <v>10.040207508628608</v>
      </c>
    </row>
    <row r="37" spans="1:18" x14ac:dyDescent="0.3">
      <c r="A37" s="1">
        <v>42048</v>
      </c>
      <c r="B37">
        <v>24682.539063</v>
      </c>
      <c r="C37">
        <f t="shared" si="2"/>
        <v>10.113851352103618</v>
      </c>
      <c r="E37" s="1">
        <v>43143</v>
      </c>
      <c r="F37">
        <v>10.290776159693717</v>
      </c>
      <c r="H37" s="1">
        <v>43915</v>
      </c>
      <c r="I37">
        <v>10.065912029325887</v>
      </c>
      <c r="N37" s="1">
        <v>43061</v>
      </c>
      <c r="O37">
        <v>10.309068995010522</v>
      </c>
      <c r="Q37" s="1">
        <v>44018</v>
      </c>
      <c r="R37">
        <v>10.178812090050902</v>
      </c>
    </row>
    <row r="38" spans="1:18" x14ac:dyDescent="0.3">
      <c r="A38" s="1">
        <v>42051</v>
      </c>
      <c r="B38">
        <v>24726.529297000001</v>
      </c>
      <c r="C38">
        <f t="shared" si="2"/>
        <v>10.115632006832945</v>
      </c>
      <c r="E38" s="1">
        <v>43179</v>
      </c>
      <c r="F38">
        <v>10.359326639377336</v>
      </c>
      <c r="H38" s="1">
        <v>44067</v>
      </c>
      <c r="I38">
        <v>10.148454436302847</v>
      </c>
      <c r="N38" s="1">
        <v>43075</v>
      </c>
      <c r="O38">
        <v>10.247956330746717</v>
      </c>
      <c r="Q38" s="1">
        <v>44098</v>
      </c>
      <c r="R38">
        <v>10.05668364744929</v>
      </c>
    </row>
    <row r="39" spans="1:18" x14ac:dyDescent="0.3">
      <c r="A39" s="1">
        <v>42052</v>
      </c>
      <c r="B39">
        <v>24784.880859000001</v>
      </c>
      <c r="C39">
        <f t="shared" si="2"/>
        <v>10.117989103463092</v>
      </c>
      <c r="E39" s="1">
        <v>43194</v>
      </c>
      <c r="F39">
        <v>10.292778882505335</v>
      </c>
      <c r="H39" s="1">
        <v>44098</v>
      </c>
      <c r="I39">
        <v>10.05668364744929</v>
      </c>
      <c r="N39" s="1">
        <v>43126</v>
      </c>
      <c r="O39">
        <v>10.408922304448431</v>
      </c>
      <c r="Q39" s="1">
        <v>44162</v>
      </c>
      <c r="R39">
        <v>10.199683764913425</v>
      </c>
    </row>
    <row r="40" spans="1:18" x14ac:dyDescent="0.3">
      <c r="A40" s="1">
        <v>42053</v>
      </c>
      <c r="B40">
        <v>24832.080077999999</v>
      </c>
      <c r="C40">
        <f t="shared" si="2"/>
        <v>10.119891647768338</v>
      </c>
      <c r="E40" s="1">
        <v>43258</v>
      </c>
      <c r="F40">
        <v>10.358143724093662</v>
      </c>
      <c r="H40" s="1">
        <v>44145</v>
      </c>
      <c r="I40">
        <v>10.177380508178501</v>
      </c>
      <c r="N40" s="1">
        <v>43143</v>
      </c>
      <c r="O40">
        <v>10.290776159693717</v>
      </c>
      <c r="Q40" s="1">
        <v>44173</v>
      </c>
      <c r="R40">
        <v>10.177497607961874</v>
      </c>
    </row>
    <row r="41" spans="1:18" x14ac:dyDescent="0.3">
      <c r="A41" s="1">
        <v>42058</v>
      </c>
      <c r="B41">
        <v>24836.759765999999</v>
      </c>
      <c r="C41">
        <f t="shared" si="2"/>
        <v>10.120080083335932</v>
      </c>
      <c r="E41" s="1">
        <v>43278</v>
      </c>
      <c r="F41">
        <v>10.252603087816006</v>
      </c>
      <c r="H41" s="1">
        <v>44193</v>
      </c>
      <c r="I41">
        <v>10.177880369910655</v>
      </c>
      <c r="N41" s="1">
        <v>43171</v>
      </c>
      <c r="O41">
        <v>10.360732955564497</v>
      </c>
      <c r="Q41" s="1">
        <v>44244</v>
      </c>
      <c r="R41">
        <v>10.344478718913219</v>
      </c>
    </row>
    <row r="42" spans="1:18" x14ac:dyDescent="0.3">
      <c r="A42" s="1">
        <v>42059</v>
      </c>
      <c r="B42">
        <v>24750.070313</v>
      </c>
      <c r="C42">
        <f t="shared" si="2"/>
        <v>10.116583608922094</v>
      </c>
      <c r="E42" s="1">
        <v>43341</v>
      </c>
      <c r="F42">
        <v>10.254723110656832</v>
      </c>
      <c r="H42" s="1">
        <v>44244</v>
      </c>
      <c r="I42">
        <v>10.344478718913219</v>
      </c>
      <c r="N42" s="1">
        <v>43194</v>
      </c>
      <c r="O42">
        <v>10.292778882505335</v>
      </c>
      <c r="Q42" s="1">
        <v>44280</v>
      </c>
      <c r="R42">
        <v>10.236367966815386</v>
      </c>
    </row>
    <row r="43" spans="1:18" x14ac:dyDescent="0.3">
      <c r="A43" s="1">
        <v>42060</v>
      </c>
      <c r="B43">
        <v>24778.279297000001</v>
      </c>
      <c r="C43">
        <f t="shared" si="2"/>
        <v>10.117722713587295</v>
      </c>
      <c r="E43" s="1">
        <v>43355</v>
      </c>
      <c r="F43">
        <v>10.179035265390436</v>
      </c>
      <c r="H43" s="1">
        <v>44263</v>
      </c>
      <c r="I43">
        <v>10.25909097533107</v>
      </c>
      <c r="N43" s="1">
        <v>43201</v>
      </c>
      <c r="O43">
        <v>10.338437380465427</v>
      </c>
      <c r="Q43" s="1">
        <v>44348</v>
      </c>
      <c r="R43">
        <v>10.291060207802705</v>
      </c>
    </row>
    <row r="44" spans="1:18" x14ac:dyDescent="0.3">
      <c r="A44" s="1">
        <v>42061</v>
      </c>
      <c r="B44">
        <v>24902.060547000001</v>
      </c>
      <c r="C44">
        <f t="shared" si="2"/>
        <v>10.122705831920534</v>
      </c>
      <c r="E44" s="1">
        <v>43371</v>
      </c>
      <c r="F44">
        <v>10.232378247873784</v>
      </c>
      <c r="H44" s="1">
        <v>44342</v>
      </c>
      <c r="I44">
        <v>10.280759261115394</v>
      </c>
      <c r="N44" s="1">
        <v>43224</v>
      </c>
      <c r="O44">
        <v>10.306499654483225</v>
      </c>
      <c r="Q44" s="1">
        <v>44475</v>
      </c>
      <c r="R44">
        <v>10.084411893428396</v>
      </c>
    </row>
    <row r="45" spans="1:18" x14ac:dyDescent="0.3">
      <c r="A45" s="1">
        <v>42062</v>
      </c>
      <c r="B45">
        <v>24823.289063</v>
      </c>
      <c r="C45">
        <f t="shared" si="2"/>
        <v>10.119537566618851</v>
      </c>
      <c r="E45" s="1">
        <v>43403</v>
      </c>
      <c r="F45">
        <v>10.109913308880101</v>
      </c>
      <c r="H45" s="1">
        <v>44475</v>
      </c>
      <c r="I45">
        <v>10.084411893428396</v>
      </c>
      <c r="N45" s="1">
        <v>43234</v>
      </c>
      <c r="O45">
        <v>10.35904610463583</v>
      </c>
      <c r="Q45" s="1">
        <v>44489</v>
      </c>
      <c r="R45">
        <v>10.171069700564068</v>
      </c>
    </row>
    <row r="46" spans="1:18" x14ac:dyDescent="0.3">
      <c r="A46" s="1">
        <v>42065</v>
      </c>
      <c r="B46">
        <v>24887.439452999999</v>
      </c>
      <c r="C46">
        <f t="shared" si="2"/>
        <v>10.122118515541768</v>
      </c>
      <c r="E46" s="1">
        <v>43438</v>
      </c>
      <c r="F46">
        <v>10.213191825920292</v>
      </c>
      <c r="H46" s="1">
        <v>44489</v>
      </c>
      <c r="I46">
        <v>10.171069700564068</v>
      </c>
      <c r="N46" s="1">
        <v>43300</v>
      </c>
      <c r="O46">
        <v>10.240347548790284</v>
      </c>
      <c r="Q46" s="1">
        <v>44550</v>
      </c>
      <c r="R46">
        <v>10.03209443730748</v>
      </c>
    </row>
    <row r="47" spans="1:18" x14ac:dyDescent="0.3">
      <c r="A47" s="1">
        <v>42066</v>
      </c>
      <c r="B47">
        <v>24702.779297000001</v>
      </c>
      <c r="C47">
        <f t="shared" si="2"/>
        <v>10.114671038431675</v>
      </c>
      <c r="E47" s="1">
        <v>43467</v>
      </c>
      <c r="F47">
        <v>10.131831542458375</v>
      </c>
      <c r="H47" s="1">
        <v>44550</v>
      </c>
      <c r="I47">
        <v>10.03209443730748</v>
      </c>
      <c r="N47" s="1">
        <v>43306</v>
      </c>
      <c r="O47">
        <v>10.272319809640058</v>
      </c>
      <c r="Q47" s="1">
        <v>44582</v>
      </c>
      <c r="R47">
        <v>10.125252184818322</v>
      </c>
    </row>
    <row r="48" spans="1:18" x14ac:dyDescent="0.3">
      <c r="A48" s="1">
        <v>42067</v>
      </c>
      <c r="B48">
        <v>24465.380859000001</v>
      </c>
      <c r="C48">
        <f t="shared" si="2"/>
        <v>10.10501437110665</v>
      </c>
      <c r="E48" s="1">
        <v>43476</v>
      </c>
      <c r="F48">
        <v>10.191192232144866</v>
      </c>
      <c r="H48" s="1">
        <v>44609</v>
      </c>
      <c r="I48">
        <v>10.118307338474414</v>
      </c>
      <c r="N48" s="1">
        <v>43355</v>
      </c>
      <c r="O48">
        <v>10.179035265390436</v>
      </c>
      <c r="Q48" s="1">
        <v>44635</v>
      </c>
      <c r="R48">
        <v>9.8209251773899382</v>
      </c>
    </row>
    <row r="49" spans="1:18" x14ac:dyDescent="0.3">
      <c r="A49" s="1">
        <v>42068</v>
      </c>
      <c r="B49">
        <v>24193.039063</v>
      </c>
      <c r="C49">
        <f t="shared" si="2"/>
        <v>10.093820228743082</v>
      </c>
      <c r="E49" s="1">
        <v>43588</v>
      </c>
      <c r="F49">
        <v>10.311667331954267</v>
      </c>
      <c r="H49" s="1">
        <v>44631</v>
      </c>
      <c r="I49">
        <v>9.9308005855557298</v>
      </c>
      <c r="N49" s="1">
        <v>43364</v>
      </c>
      <c r="O49">
        <v>10.238300559038912</v>
      </c>
      <c r="Q49" s="1">
        <v>44655</v>
      </c>
      <c r="R49">
        <v>10.021373273897932</v>
      </c>
    </row>
    <row r="50" spans="1:18" x14ac:dyDescent="0.3">
      <c r="A50" s="1">
        <v>42069</v>
      </c>
      <c r="B50">
        <v>24164</v>
      </c>
      <c r="C50">
        <f t="shared" si="2"/>
        <v>10.092619201258632</v>
      </c>
      <c r="E50" s="1">
        <v>43620</v>
      </c>
      <c r="F50">
        <v>10.194720296299689</v>
      </c>
      <c r="H50" s="1">
        <v>44655</v>
      </c>
      <c r="I50">
        <v>10.021373273897932</v>
      </c>
      <c r="N50" s="1">
        <v>43403</v>
      </c>
      <c r="O50">
        <v>10.109913308880101</v>
      </c>
      <c r="Q50" s="1">
        <v>44693</v>
      </c>
      <c r="R50">
        <v>9.8720144211011203</v>
      </c>
    </row>
    <row r="51" spans="1:18" x14ac:dyDescent="0.3">
      <c r="A51" s="1">
        <v>42072</v>
      </c>
      <c r="B51">
        <v>24123.050781000002</v>
      </c>
      <c r="C51">
        <f t="shared" si="2"/>
        <v>10.090923126300476</v>
      </c>
      <c r="E51" s="1">
        <v>43671</v>
      </c>
      <c r="F51">
        <v>10.260962703558755</v>
      </c>
      <c r="H51" s="1">
        <v>44693</v>
      </c>
      <c r="I51">
        <v>9.8720144211011203</v>
      </c>
      <c r="N51" s="1">
        <v>43438</v>
      </c>
      <c r="O51">
        <v>10.213191825920292</v>
      </c>
      <c r="Q51" s="1">
        <v>44740</v>
      </c>
      <c r="R51">
        <v>10.017662785804202</v>
      </c>
    </row>
    <row r="52" spans="1:18" x14ac:dyDescent="0.3">
      <c r="A52" s="1">
        <v>42073</v>
      </c>
      <c r="B52">
        <v>23896.980468999998</v>
      </c>
      <c r="C52">
        <f t="shared" si="2"/>
        <v>10.081507389728801</v>
      </c>
      <c r="E52" s="1">
        <v>43690</v>
      </c>
      <c r="F52">
        <v>10.137820301881654</v>
      </c>
      <c r="H52" s="1">
        <v>44740</v>
      </c>
      <c r="I52">
        <v>10.017662785804202</v>
      </c>
      <c r="N52" s="1">
        <v>43467</v>
      </c>
      <c r="O52">
        <v>10.131831542458375</v>
      </c>
      <c r="Q52" s="1">
        <v>44797</v>
      </c>
      <c r="R52">
        <v>9.8662393848033236</v>
      </c>
    </row>
    <row r="53" spans="1:18" x14ac:dyDescent="0.3">
      <c r="A53" s="1">
        <v>42074</v>
      </c>
      <c r="B53">
        <v>23717.970702999999</v>
      </c>
      <c r="C53">
        <f t="shared" si="2"/>
        <v>10.073988297301783</v>
      </c>
      <c r="E53" s="1">
        <v>43721</v>
      </c>
      <c r="F53">
        <v>10.216570137677383</v>
      </c>
      <c r="H53" s="1">
        <v>44813</v>
      </c>
      <c r="I53">
        <v>9.8710805730859263</v>
      </c>
      <c r="N53" s="1">
        <v>43530</v>
      </c>
      <c r="O53">
        <v>10.276346807430077</v>
      </c>
      <c r="Q53" s="1">
        <v>44799</v>
      </c>
      <c r="R53">
        <v>9.9119535676345336</v>
      </c>
    </row>
    <row r="54" spans="1:18" x14ac:dyDescent="0.3">
      <c r="A54" s="1">
        <v>42075</v>
      </c>
      <c r="B54">
        <v>23797.960938</v>
      </c>
      <c r="C54">
        <f t="shared" si="2"/>
        <v>10.077355181115315</v>
      </c>
      <c r="E54" s="1">
        <v>43733</v>
      </c>
      <c r="F54">
        <v>10.163747666715871</v>
      </c>
      <c r="H54" s="1">
        <v>44865</v>
      </c>
      <c r="I54">
        <v>9.5947193575684615</v>
      </c>
      <c r="N54" s="1">
        <v>43532</v>
      </c>
      <c r="O54">
        <v>10.24808454809056</v>
      </c>
      <c r="Q54" s="1">
        <v>44865</v>
      </c>
      <c r="R54">
        <v>9.5947193575684615</v>
      </c>
    </row>
    <row r="55" spans="1:18" x14ac:dyDescent="0.3">
      <c r="A55" s="1">
        <v>42076</v>
      </c>
      <c r="B55">
        <v>23823.210938</v>
      </c>
      <c r="C55">
        <f t="shared" si="2"/>
        <v>10.07841563390854</v>
      </c>
      <c r="E55" s="1">
        <v>43777</v>
      </c>
      <c r="F55">
        <v>10.227422258360027</v>
      </c>
      <c r="H55" s="1">
        <v>44880</v>
      </c>
      <c r="I55">
        <v>9.8170098044685279</v>
      </c>
      <c r="N55" s="1">
        <v>43564</v>
      </c>
      <c r="O55">
        <v>10.314188603606278</v>
      </c>
      <c r="Q55" s="1">
        <v>44953</v>
      </c>
      <c r="R55">
        <v>10.029631114325424</v>
      </c>
    </row>
    <row r="56" spans="1:18" x14ac:dyDescent="0.3">
      <c r="A56" s="1">
        <v>42079</v>
      </c>
      <c r="B56">
        <v>23949.550781000002</v>
      </c>
      <c r="C56">
        <f t="shared" si="2"/>
        <v>10.083704846128709</v>
      </c>
      <c r="E56" s="1">
        <v>43803</v>
      </c>
      <c r="F56">
        <v>10.168255101684741</v>
      </c>
      <c r="H56" s="1">
        <v>44960</v>
      </c>
      <c r="I56">
        <v>9.9832442517593005</v>
      </c>
      <c r="N56" s="1">
        <v>43620</v>
      </c>
      <c r="O56">
        <v>10.194720296299689</v>
      </c>
      <c r="Q56" s="1">
        <v>44960</v>
      </c>
      <c r="R56">
        <v>9.9832442517593005</v>
      </c>
    </row>
    <row r="57" spans="1:18" x14ac:dyDescent="0.3">
      <c r="A57" s="1">
        <v>42080</v>
      </c>
      <c r="B57">
        <v>23901.490234000001</v>
      </c>
      <c r="C57">
        <f t="shared" si="2"/>
        <v>10.08169608886277</v>
      </c>
      <c r="E57" s="1">
        <v>43843</v>
      </c>
      <c r="F57">
        <v>10.27349608858535</v>
      </c>
      <c r="N57" s="1">
        <v>43648</v>
      </c>
      <c r="O57">
        <v>10.270750860518785</v>
      </c>
    </row>
    <row r="58" spans="1:18" x14ac:dyDescent="0.3">
      <c r="A58" s="1">
        <v>42081</v>
      </c>
      <c r="B58">
        <v>24120.080077999999</v>
      </c>
      <c r="C58">
        <f t="shared" si="2"/>
        <v>10.090799970819027</v>
      </c>
      <c r="E58" s="1">
        <v>43860</v>
      </c>
      <c r="F58">
        <v>10.182978576973394</v>
      </c>
      <c r="N58" s="1">
        <v>43690</v>
      </c>
      <c r="O58">
        <v>10.137820301881654</v>
      </c>
    </row>
    <row r="59" spans="1:18" x14ac:dyDescent="0.3">
      <c r="A59" s="1">
        <v>42082</v>
      </c>
      <c r="B59">
        <v>24468.890625</v>
      </c>
      <c r="C59">
        <f t="shared" si="2"/>
        <v>10.105157819283136</v>
      </c>
      <c r="E59" s="1">
        <v>43895</v>
      </c>
      <c r="F59">
        <v>10.194957534578972</v>
      </c>
      <c r="N59" s="1">
        <v>43721</v>
      </c>
      <c r="O59">
        <v>10.216570137677383</v>
      </c>
    </row>
    <row r="60" spans="1:18" x14ac:dyDescent="0.3">
      <c r="A60" s="1">
        <v>42083</v>
      </c>
      <c r="B60">
        <v>24375.240234000001</v>
      </c>
      <c r="C60">
        <f t="shared" si="2"/>
        <v>10.101323151571327</v>
      </c>
      <c r="E60" s="1">
        <v>43913</v>
      </c>
      <c r="F60">
        <v>9.9848892222023906</v>
      </c>
      <c r="N60" s="1">
        <v>43748</v>
      </c>
      <c r="O60">
        <v>10.154554771463319</v>
      </c>
    </row>
    <row r="61" spans="1:18" x14ac:dyDescent="0.3">
      <c r="A61" s="1">
        <v>42086</v>
      </c>
      <c r="B61">
        <v>24494.509765999999</v>
      </c>
      <c r="C61">
        <f t="shared" si="2"/>
        <v>10.106204280236964</v>
      </c>
      <c r="E61" s="1">
        <v>43915</v>
      </c>
      <c r="F61">
        <v>10.065912029325887</v>
      </c>
      <c r="N61" s="1">
        <v>43776</v>
      </c>
      <c r="O61">
        <v>10.234488795850348</v>
      </c>
    </row>
    <row r="62" spans="1:18" x14ac:dyDescent="0.3">
      <c r="A62" s="1">
        <v>42087</v>
      </c>
      <c r="B62">
        <v>24399.599609000001</v>
      </c>
      <c r="C62">
        <f t="shared" si="2"/>
        <v>10.102322001679443</v>
      </c>
      <c r="E62" s="1">
        <v>43972</v>
      </c>
      <c r="F62">
        <v>10.097409451803678</v>
      </c>
      <c r="N62" s="1">
        <v>43803</v>
      </c>
      <c r="O62">
        <v>10.168255101684741</v>
      </c>
    </row>
    <row r="63" spans="1:18" x14ac:dyDescent="0.3">
      <c r="A63" s="1">
        <v>42088</v>
      </c>
      <c r="B63">
        <v>24528.230468999998</v>
      </c>
      <c r="C63">
        <f t="shared" si="2"/>
        <v>10.107579997226942</v>
      </c>
      <c r="E63" s="1">
        <v>43973</v>
      </c>
      <c r="F63">
        <v>10.040207508628608</v>
      </c>
      <c r="N63" s="1">
        <v>43847</v>
      </c>
      <c r="O63">
        <v>10.276994733457933</v>
      </c>
    </row>
    <row r="64" spans="1:18" x14ac:dyDescent="0.3">
      <c r="A64" s="1">
        <v>42089</v>
      </c>
      <c r="B64">
        <v>24497.080077999999</v>
      </c>
      <c r="C64">
        <f t="shared" si="2"/>
        <v>10.106309208940463</v>
      </c>
      <c r="E64" s="1">
        <v>43992</v>
      </c>
      <c r="F64">
        <v>10.128618346734566</v>
      </c>
      <c r="N64" s="1">
        <v>43864</v>
      </c>
      <c r="O64">
        <v>10.179488432320676</v>
      </c>
    </row>
    <row r="65" spans="1:15" x14ac:dyDescent="0.3">
      <c r="A65" s="1">
        <v>42090</v>
      </c>
      <c r="B65">
        <v>24486.199218999998</v>
      </c>
      <c r="C65">
        <f t="shared" si="2"/>
        <v>10.105864940637682</v>
      </c>
      <c r="E65" s="1">
        <v>44011</v>
      </c>
      <c r="F65">
        <v>10.098284273909968</v>
      </c>
      <c r="N65" s="1">
        <v>43878</v>
      </c>
      <c r="O65">
        <v>10.238515876109304</v>
      </c>
    </row>
    <row r="66" spans="1:15" x14ac:dyDescent="0.3">
      <c r="A66" s="1">
        <v>42093</v>
      </c>
      <c r="B66">
        <v>24855.119140999999</v>
      </c>
      <c r="C66">
        <f t="shared" si="2"/>
        <v>10.120819011959249</v>
      </c>
      <c r="E66" s="1">
        <v>44018</v>
      </c>
      <c r="F66">
        <v>10.178812090050902</v>
      </c>
      <c r="N66" s="1">
        <v>43913</v>
      </c>
      <c r="O66">
        <v>9.9848892222023906</v>
      </c>
    </row>
    <row r="67" spans="1:15" x14ac:dyDescent="0.3">
      <c r="A67" s="1">
        <v>42094</v>
      </c>
      <c r="B67">
        <v>24900.890625</v>
      </c>
      <c r="C67">
        <f t="shared" si="2"/>
        <v>10.122658849885426</v>
      </c>
      <c r="E67" s="1">
        <v>44046</v>
      </c>
      <c r="F67">
        <v>10.104717990090714</v>
      </c>
      <c r="N67" s="1">
        <v>43935</v>
      </c>
      <c r="O67">
        <v>10.103788195532765</v>
      </c>
    </row>
    <row r="68" spans="1:15" x14ac:dyDescent="0.3">
      <c r="A68" s="1">
        <v>42095</v>
      </c>
      <c r="B68">
        <v>25082.75</v>
      </c>
      <c r="C68">
        <f t="shared" si="2"/>
        <v>10.129935637858638</v>
      </c>
      <c r="E68" s="1">
        <v>44067</v>
      </c>
      <c r="F68">
        <v>10.148454436302847</v>
      </c>
      <c r="N68" s="1">
        <v>43955</v>
      </c>
      <c r="O68">
        <v>10.069586598953107</v>
      </c>
    </row>
    <row r="69" spans="1:15" x14ac:dyDescent="0.3">
      <c r="A69" s="1">
        <v>42096</v>
      </c>
      <c r="B69">
        <v>25275.640625</v>
      </c>
      <c r="C69">
        <f t="shared" si="2"/>
        <v>10.137596389759352</v>
      </c>
      <c r="E69" s="1">
        <v>44098</v>
      </c>
      <c r="F69">
        <v>10.05668364744929</v>
      </c>
      <c r="N69" s="1">
        <v>43970</v>
      </c>
      <c r="O69">
        <v>10.101851852725957</v>
      </c>
    </row>
    <row r="70" spans="1:15" x14ac:dyDescent="0.3">
      <c r="A70" s="1">
        <v>42102</v>
      </c>
      <c r="B70">
        <v>26236.859375</v>
      </c>
      <c r="C70">
        <f t="shared" si="2"/>
        <v>10.174920547442047</v>
      </c>
      <c r="E70" s="1">
        <v>44145</v>
      </c>
      <c r="F70">
        <v>10.177380508178501</v>
      </c>
      <c r="N70" s="1">
        <v>43973</v>
      </c>
      <c r="O70">
        <v>10.040207508628608</v>
      </c>
    </row>
    <row r="71" spans="1:15" x14ac:dyDescent="0.3">
      <c r="A71" s="1">
        <v>42103</v>
      </c>
      <c r="B71">
        <v>26944.390625</v>
      </c>
      <c r="C71">
        <f t="shared" ref="C71:C134" si="6">LN(B71)</f>
        <v>10.20153041459878</v>
      </c>
      <c r="E71" s="1">
        <v>44193</v>
      </c>
      <c r="F71">
        <v>10.177880369910655</v>
      </c>
      <c r="N71" s="1">
        <v>44018</v>
      </c>
      <c r="O71">
        <v>10.178812090050902</v>
      </c>
    </row>
    <row r="72" spans="1:15" x14ac:dyDescent="0.3">
      <c r="A72" s="1">
        <v>42104</v>
      </c>
      <c r="B72">
        <v>27272.390625</v>
      </c>
      <c r="C72">
        <f t="shared" si="6"/>
        <v>10.213630137013784</v>
      </c>
      <c r="E72" s="1">
        <v>44221</v>
      </c>
      <c r="F72">
        <v>10.31423898889058</v>
      </c>
      <c r="N72" s="1">
        <v>44053</v>
      </c>
      <c r="O72">
        <v>10.101412970406068</v>
      </c>
    </row>
    <row r="73" spans="1:15" x14ac:dyDescent="0.3">
      <c r="A73" s="1">
        <v>42107</v>
      </c>
      <c r="B73">
        <v>28016.339843999998</v>
      </c>
      <c r="C73">
        <f t="shared" si="6"/>
        <v>10.240543184806144</v>
      </c>
      <c r="E73" s="1">
        <v>44225</v>
      </c>
      <c r="F73">
        <v>10.250041332688879</v>
      </c>
      <c r="N73" s="1">
        <v>44067</v>
      </c>
      <c r="O73">
        <v>10.148454436302847</v>
      </c>
    </row>
    <row r="74" spans="1:15" x14ac:dyDescent="0.3">
      <c r="A74" s="1">
        <v>42108</v>
      </c>
      <c r="B74">
        <v>27561.490234000001</v>
      </c>
      <c r="C74">
        <f t="shared" si="6"/>
        <v>10.224174796016971</v>
      </c>
      <c r="E74" s="1">
        <v>44244</v>
      </c>
      <c r="F74">
        <v>10.344478718913219</v>
      </c>
      <c r="N74" s="1">
        <v>44098</v>
      </c>
      <c r="O74">
        <v>10.05668364744929</v>
      </c>
    </row>
    <row r="75" spans="1:15" x14ac:dyDescent="0.3">
      <c r="A75" s="1">
        <v>42109</v>
      </c>
      <c r="B75">
        <v>27618.820313</v>
      </c>
      <c r="C75">
        <f t="shared" si="6"/>
        <v>10.226252714718761</v>
      </c>
      <c r="E75" s="1">
        <v>44263</v>
      </c>
      <c r="F75">
        <v>10.25909097533107</v>
      </c>
      <c r="N75" s="1">
        <v>44127</v>
      </c>
      <c r="O75">
        <v>10.123376986830003</v>
      </c>
    </row>
    <row r="76" spans="1:15" x14ac:dyDescent="0.3">
      <c r="A76" s="1">
        <v>42110</v>
      </c>
      <c r="B76">
        <v>27739.710938</v>
      </c>
      <c r="C76">
        <f t="shared" si="6"/>
        <v>10.23062027341078</v>
      </c>
      <c r="E76" s="1">
        <v>44342</v>
      </c>
      <c r="F76">
        <v>10.280759261115394</v>
      </c>
      <c r="N76" s="1">
        <v>44134</v>
      </c>
      <c r="O76">
        <v>10.090274952674159</v>
      </c>
    </row>
    <row r="77" spans="1:15" x14ac:dyDescent="0.3">
      <c r="A77" s="1">
        <v>42111</v>
      </c>
      <c r="B77">
        <v>27653.119140999999</v>
      </c>
      <c r="C77">
        <f t="shared" si="6"/>
        <v>10.227493808580904</v>
      </c>
      <c r="E77" s="1">
        <v>44400</v>
      </c>
      <c r="F77">
        <v>10.215446802601997</v>
      </c>
      <c r="N77" s="1">
        <v>44162</v>
      </c>
      <c r="O77">
        <v>10.199683764913425</v>
      </c>
    </row>
    <row r="78" spans="1:15" x14ac:dyDescent="0.3">
      <c r="A78" s="1">
        <v>42114</v>
      </c>
      <c r="B78">
        <v>27094.929688</v>
      </c>
      <c r="C78">
        <f t="shared" si="6"/>
        <v>10.207101892979317</v>
      </c>
      <c r="E78" s="1">
        <v>44404</v>
      </c>
      <c r="F78">
        <v>10.130082329035551</v>
      </c>
      <c r="N78" s="1">
        <v>44173</v>
      </c>
      <c r="O78">
        <v>10.177497607961874</v>
      </c>
    </row>
    <row r="79" spans="1:15" x14ac:dyDescent="0.3">
      <c r="A79" s="1">
        <v>42115</v>
      </c>
      <c r="B79">
        <v>27850.490234000001</v>
      </c>
      <c r="C79">
        <f t="shared" si="6"/>
        <v>10.234605847857596</v>
      </c>
      <c r="E79" s="1">
        <v>44419</v>
      </c>
      <c r="F79">
        <v>10.190925601066494</v>
      </c>
      <c r="N79" s="1">
        <v>44244</v>
      </c>
      <c r="O79">
        <v>10.344478718913219</v>
      </c>
    </row>
    <row r="80" spans="1:15" x14ac:dyDescent="0.3">
      <c r="A80" s="1">
        <v>42116</v>
      </c>
      <c r="B80">
        <v>27933.849609000001</v>
      </c>
      <c r="C80">
        <f t="shared" si="6"/>
        <v>10.237594480053701</v>
      </c>
      <c r="E80" s="1">
        <v>44428</v>
      </c>
      <c r="F80">
        <v>10.120601792145719</v>
      </c>
      <c r="N80" s="1">
        <v>44280</v>
      </c>
      <c r="O80">
        <v>10.236367966815386</v>
      </c>
    </row>
    <row r="81" spans="1:15" x14ac:dyDescent="0.3">
      <c r="A81" s="1">
        <v>42117</v>
      </c>
      <c r="B81">
        <v>27827.699218999998</v>
      </c>
      <c r="C81">
        <f t="shared" si="6"/>
        <v>10.233787178411021</v>
      </c>
      <c r="E81" s="1">
        <v>44447</v>
      </c>
      <c r="F81">
        <v>10.178119707307831</v>
      </c>
      <c r="N81" s="1">
        <v>44348</v>
      </c>
      <c r="O81">
        <v>10.291060207802705</v>
      </c>
    </row>
    <row r="82" spans="1:15" x14ac:dyDescent="0.3">
      <c r="A82" s="1">
        <v>42118</v>
      </c>
      <c r="B82">
        <v>28060.980468999998</v>
      </c>
      <c r="C82">
        <f t="shared" si="6"/>
        <v>10.242135294920553</v>
      </c>
      <c r="E82" s="1">
        <v>44475</v>
      </c>
      <c r="F82">
        <v>10.084411893428396</v>
      </c>
      <c r="N82" s="1">
        <v>44385</v>
      </c>
      <c r="O82">
        <v>10.209247635803816</v>
      </c>
    </row>
    <row r="83" spans="1:15" x14ac:dyDescent="0.3">
      <c r="A83" s="1">
        <v>42121</v>
      </c>
      <c r="B83">
        <v>28433.589843999998</v>
      </c>
      <c r="C83">
        <f t="shared" si="6"/>
        <v>10.255326466248107</v>
      </c>
      <c r="E83" s="1">
        <v>44489</v>
      </c>
      <c r="F83">
        <v>10.171069700564068</v>
      </c>
      <c r="N83" s="1">
        <v>44393</v>
      </c>
      <c r="O83">
        <v>10.240126906906678</v>
      </c>
    </row>
    <row r="84" spans="1:15" x14ac:dyDescent="0.3">
      <c r="A84" s="1">
        <v>42122</v>
      </c>
      <c r="B84">
        <v>28442.75</v>
      </c>
      <c r="C84">
        <f t="shared" si="6"/>
        <v>10.255648574038599</v>
      </c>
      <c r="E84" s="1">
        <v>44550</v>
      </c>
      <c r="F84">
        <v>10.03209443730748</v>
      </c>
      <c r="N84" s="1">
        <v>44404</v>
      </c>
      <c r="O84">
        <v>10.130082329035551</v>
      </c>
    </row>
    <row r="85" spans="1:15" x14ac:dyDescent="0.3">
      <c r="A85" s="1">
        <v>42123</v>
      </c>
      <c r="B85">
        <v>28400.339843999998</v>
      </c>
      <c r="C85">
        <f t="shared" si="6"/>
        <v>10.25415639041573</v>
      </c>
      <c r="E85" s="1">
        <v>44609</v>
      </c>
      <c r="F85">
        <v>10.118307338474414</v>
      </c>
      <c r="N85" s="1">
        <v>44419</v>
      </c>
      <c r="O85">
        <v>10.190925601066494</v>
      </c>
    </row>
    <row r="86" spans="1:15" x14ac:dyDescent="0.3">
      <c r="A86" s="1">
        <v>42124</v>
      </c>
      <c r="B86">
        <v>28133</v>
      </c>
      <c r="C86">
        <f t="shared" si="6"/>
        <v>10.244698543504514</v>
      </c>
      <c r="E86" s="1">
        <v>44631</v>
      </c>
      <c r="F86">
        <v>9.9308005855557298</v>
      </c>
      <c r="N86" s="1">
        <v>44475</v>
      </c>
      <c r="O86">
        <v>10.084411893428396</v>
      </c>
    </row>
    <row r="87" spans="1:15" x14ac:dyDescent="0.3">
      <c r="A87" s="1">
        <v>42128</v>
      </c>
      <c r="B87">
        <v>28123.820313</v>
      </c>
      <c r="C87">
        <f t="shared" si="6"/>
        <v>10.244372194200363</v>
      </c>
      <c r="E87" s="1">
        <v>44635</v>
      </c>
      <c r="F87">
        <v>9.8209251773899382</v>
      </c>
      <c r="N87" s="1">
        <v>44489</v>
      </c>
      <c r="O87">
        <v>10.171069700564068</v>
      </c>
    </row>
    <row r="88" spans="1:15" x14ac:dyDescent="0.3">
      <c r="A88" s="1">
        <v>42129</v>
      </c>
      <c r="B88">
        <v>27755.539063</v>
      </c>
      <c r="C88">
        <f t="shared" si="6"/>
        <v>10.231190705129853</v>
      </c>
      <c r="E88" s="1">
        <v>44637</v>
      </c>
      <c r="F88">
        <v>9.9758654435943956</v>
      </c>
      <c r="N88" s="1">
        <v>44550</v>
      </c>
      <c r="O88">
        <v>10.03209443730748</v>
      </c>
    </row>
    <row r="89" spans="1:15" x14ac:dyDescent="0.3">
      <c r="A89" s="1">
        <v>42130</v>
      </c>
      <c r="B89">
        <v>27640.910156000002</v>
      </c>
      <c r="C89">
        <f t="shared" si="6"/>
        <v>10.227052206283021</v>
      </c>
      <c r="E89" s="1">
        <v>44655</v>
      </c>
      <c r="F89">
        <v>10.021373273897932</v>
      </c>
      <c r="N89" s="1">
        <v>44582</v>
      </c>
      <c r="O89">
        <v>10.125252184818322</v>
      </c>
    </row>
    <row r="90" spans="1:15" x14ac:dyDescent="0.3">
      <c r="A90" s="1">
        <v>42131</v>
      </c>
      <c r="B90">
        <v>27289.970702999999</v>
      </c>
      <c r="C90">
        <f t="shared" si="6"/>
        <v>10.214274540158385</v>
      </c>
      <c r="E90" s="1">
        <v>44676</v>
      </c>
      <c r="F90">
        <v>9.8969331112395373</v>
      </c>
      <c r="N90" s="1">
        <v>44635</v>
      </c>
      <c r="O90">
        <v>9.8209251773899382</v>
      </c>
    </row>
    <row r="91" spans="1:15" x14ac:dyDescent="0.3">
      <c r="A91" s="1">
        <v>42132</v>
      </c>
      <c r="B91">
        <v>27577.339843999998</v>
      </c>
      <c r="C91">
        <f t="shared" si="6"/>
        <v>10.224749694338685</v>
      </c>
      <c r="E91" s="1">
        <v>44680</v>
      </c>
      <c r="F91">
        <v>9.9565253790297756</v>
      </c>
      <c r="N91" s="1">
        <v>44655</v>
      </c>
      <c r="O91">
        <v>10.021373273897932</v>
      </c>
    </row>
    <row r="92" spans="1:15" x14ac:dyDescent="0.3">
      <c r="A92" s="1">
        <v>42135</v>
      </c>
      <c r="B92">
        <v>27718.199218999998</v>
      </c>
      <c r="C92">
        <f t="shared" si="6"/>
        <v>10.229844487954098</v>
      </c>
      <c r="E92" s="1">
        <v>44693</v>
      </c>
      <c r="F92">
        <v>9.8720144211011203</v>
      </c>
      <c r="N92" s="1">
        <v>44693</v>
      </c>
      <c r="O92">
        <v>9.8720144211011203</v>
      </c>
    </row>
    <row r="93" spans="1:15" x14ac:dyDescent="0.3">
      <c r="A93" s="1">
        <v>42136</v>
      </c>
      <c r="B93">
        <v>27407.179688</v>
      </c>
      <c r="C93">
        <f t="shared" si="6"/>
        <v>10.218560290460426</v>
      </c>
      <c r="E93" s="1">
        <v>44720</v>
      </c>
      <c r="F93">
        <v>9.9994606872645395</v>
      </c>
      <c r="N93" s="1">
        <v>44740</v>
      </c>
      <c r="O93">
        <v>10.017662785804202</v>
      </c>
    </row>
    <row r="94" spans="1:15" x14ac:dyDescent="0.3">
      <c r="A94" s="1">
        <v>42137</v>
      </c>
      <c r="B94">
        <v>27249.279297000001</v>
      </c>
      <c r="C94">
        <f t="shared" si="6"/>
        <v>10.212782351925126</v>
      </c>
      <c r="E94" s="1">
        <v>44728</v>
      </c>
      <c r="F94">
        <v>9.9448900035828931</v>
      </c>
      <c r="N94" s="1">
        <v>44757</v>
      </c>
      <c r="O94">
        <v>9.9182638780855417</v>
      </c>
    </row>
    <row r="95" spans="1:15" x14ac:dyDescent="0.3">
      <c r="A95" s="1">
        <v>42138</v>
      </c>
      <c r="B95">
        <v>27286.550781000002</v>
      </c>
      <c r="C95">
        <f t="shared" si="6"/>
        <v>10.214149214398828</v>
      </c>
      <c r="E95" s="1">
        <v>44740</v>
      </c>
      <c r="F95">
        <v>10.017662785804202</v>
      </c>
      <c r="N95" s="1">
        <v>44768</v>
      </c>
      <c r="O95">
        <v>9.9477857791861428</v>
      </c>
    </row>
    <row r="96" spans="1:15" x14ac:dyDescent="0.3">
      <c r="A96" s="1">
        <v>42139</v>
      </c>
      <c r="B96">
        <v>27822.279297000001</v>
      </c>
      <c r="C96">
        <f t="shared" si="6"/>
        <v>10.233592392279501</v>
      </c>
      <c r="E96" s="1">
        <v>44757</v>
      </c>
      <c r="F96">
        <v>9.9182638780855417</v>
      </c>
      <c r="N96" s="1">
        <v>44797</v>
      </c>
      <c r="O96">
        <v>9.8662393848033236</v>
      </c>
    </row>
    <row r="97" spans="1:15" x14ac:dyDescent="0.3">
      <c r="A97" s="1">
        <v>42142</v>
      </c>
      <c r="B97">
        <v>27591.25</v>
      </c>
      <c r="C97">
        <f t="shared" si="6"/>
        <v>10.225253972455421</v>
      </c>
      <c r="E97" s="1">
        <v>44813</v>
      </c>
      <c r="F97">
        <v>9.8710805730859263</v>
      </c>
      <c r="N97" s="1">
        <v>44799</v>
      </c>
      <c r="O97">
        <v>9.9119535676345336</v>
      </c>
    </row>
    <row r="98" spans="1:15" x14ac:dyDescent="0.3">
      <c r="A98" s="1">
        <v>42143</v>
      </c>
      <c r="B98">
        <v>27693.539063</v>
      </c>
      <c r="C98">
        <f t="shared" si="6"/>
        <v>10.228954418146055</v>
      </c>
      <c r="E98" s="1">
        <v>44837</v>
      </c>
      <c r="F98">
        <v>9.7456347647058195</v>
      </c>
      <c r="N98" s="1">
        <v>44837</v>
      </c>
      <c r="O98">
        <v>9.7456347647058195</v>
      </c>
    </row>
    <row r="99" spans="1:15" x14ac:dyDescent="0.3">
      <c r="A99" s="1">
        <v>42144</v>
      </c>
      <c r="B99">
        <v>27585.050781000002</v>
      </c>
      <c r="C99">
        <f t="shared" si="6"/>
        <v>10.225029266596625</v>
      </c>
      <c r="E99" s="1">
        <v>44839</v>
      </c>
      <c r="F99">
        <v>9.8030023942638795</v>
      </c>
      <c r="N99" s="1">
        <v>44839</v>
      </c>
      <c r="O99">
        <v>9.8030023942638795</v>
      </c>
    </row>
    <row r="100" spans="1:15" x14ac:dyDescent="0.3">
      <c r="A100" s="1">
        <v>42145</v>
      </c>
      <c r="B100">
        <v>27523.720702999999</v>
      </c>
      <c r="C100">
        <f t="shared" si="6"/>
        <v>10.222803482872251</v>
      </c>
      <c r="E100" s="1">
        <v>44865</v>
      </c>
      <c r="F100">
        <v>9.5947193575684615</v>
      </c>
      <c r="N100" s="1">
        <v>44865</v>
      </c>
      <c r="O100">
        <v>9.5947193575684615</v>
      </c>
    </row>
    <row r="101" spans="1:15" x14ac:dyDescent="0.3">
      <c r="A101" s="1">
        <v>42146</v>
      </c>
      <c r="B101">
        <v>27992.830077999999</v>
      </c>
      <c r="C101">
        <f t="shared" si="6"/>
        <v>10.239703687723312</v>
      </c>
      <c r="E101" s="1">
        <v>44880</v>
      </c>
      <c r="F101">
        <v>9.8170098044685279</v>
      </c>
      <c r="N101" s="1">
        <v>44880</v>
      </c>
      <c r="O101">
        <v>9.8170098044685279</v>
      </c>
    </row>
    <row r="102" spans="1:15" x14ac:dyDescent="0.3">
      <c r="A102" s="1">
        <v>42150</v>
      </c>
      <c r="B102">
        <v>28249.859375</v>
      </c>
      <c r="C102">
        <f t="shared" si="6"/>
        <v>10.248843758686091</v>
      </c>
      <c r="E102" s="1">
        <v>44893</v>
      </c>
      <c r="F102">
        <v>9.7583426666290904</v>
      </c>
      <c r="N102" s="1">
        <v>44893</v>
      </c>
      <c r="O102">
        <v>9.7583426666290904</v>
      </c>
    </row>
    <row r="103" spans="1:15" x14ac:dyDescent="0.3">
      <c r="A103" s="1">
        <v>42151</v>
      </c>
      <c r="B103">
        <v>28081.210938</v>
      </c>
      <c r="C103">
        <f t="shared" si="6"/>
        <v>10.24285598178256</v>
      </c>
      <c r="E103" s="1">
        <v>44900</v>
      </c>
      <c r="F103">
        <v>9.8791072056644911</v>
      </c>
      <c r="N103" s="1">
        <v>44904</v>
      </c>
      <c r="O103">
        <v>9.8985186851859766</v>
      </c>
    </row>
    <row r="104" spans="1:15" x14ac:dyDescent="0.3">
      <c r="A104" s="1">
        <v>42152</v>
      </c>
      <c r="B104">
        <v>27454.310547000001</v>
      </c>
      <c r="C104">
        <f t="shared" si="6"/>
        <v>10.220278467286931</v>
      </c>
      <c r="E104" s="1">
        <v>44916</v>
      </c>
      <c r="F104">
        <v>9.8606056375232054</v>
      </c>
      <c r="N104" s="1">
        <v>44915</v>
      </c>
      <c r="O104">
        <v>9.8571713665598928</v>
      </c>
    </row>
    <row r="105" spans="1:15" x14ac:dyDescent="0.3">
      <c r="A105" s="1">
        <v>42153</v>
      </c>
      <c r="B105">
        <v>27424.189452999999</v>
      </c>
      <c r="C105">
        <f t="shared" si="6"/>
        <v>10.219180729665652</v>
      </c>
      <c r="E105" s="1">
        <v>44953</v>
      </c>
      <c r="F105">
        <v>10.029631114325424</v>
      </c>
      <c r="N105" s="1">
        <v>44953</v>
      </c>
      <c r="O105">
        <v>10.029631114325424</v>
      </c>
    </row>
    <row r="106" spans="1:15" x14ac:dyDescent="0.3">
      <c r="A106" s="1">
        <v>42156</v>
      </c>
      <c r="B106">
        <v>27597.160156000002</v>
      </c>
      <c r="C106">
        <f t="shared" si="6"/>
        <v>10.225468153512853</v>
      </c>
      <c r="E106" s="1">
        <v>44960</v>
      </c>
      <c r="F106">
        <v>9.9832442517593005</v>
      </c>
      <c r="N106" s="1">
        <v>44960</v>
      </c>
      <c r="O106">
        <v>9.9832442517593005</v>
      </c>
    </row>
    <row r="107" spans="1:15" x14ac:dyDescent="0.3">
      <c r="A107" s="1">
        <v>42157</v>
      </c>
      <c r="B107">
        <v>27466.720702999999</v>
      </c>
      <c r="C107">
        <f t="shared" si="6"/>
        <v>10.220730394569751</v>
      </c>
    </row>
    <row r="108" spans="1:15" x14ac:dyDescent="0.3">
      <c r="A108" s="1">
        <v>42158</v>
      </c>
      <c r="B108">
        <v>27657.470702999999</v>
      </c>
      <c r="C108">
        <f t="shared" si="6"/>
        <v>10.227651158629827</v>
      </c>
    </row>
    <row r="109" spans="1:15" x14ac:dyDescent="0.3">
      <c r="A109" s="1">
        <v>42159</v>
      </c>
      <c r="B109">
        <v>27551.890625</v>
      </c>
      <c r="C109">
        <f t="shared" si="6"/>
        <v>10.223826437453317</v>
      </c>
    </row>
    <row r="110" spans="1:15" x14ac:dyDescent="0.3">
      <c r="A110" s="1">
        <v>42160</v>
      </c>
      <c r="B110">
        <v>27260.160156000002</v>
      </c>
      <c r="C110">
        <f t="shared" si="6"/>
        <v>10.213181580361658</v>
      </c>
    </row>
    <row r="111" spans="1:15" x14ac:dyDescent="0.3">
      <c r="A111" s="1">
        <v>42163</v>
      </c>
      <c r="B111">
        <v>27316.279297000001</v>
      </c>
      <c r="C111">
        <f t="shared" si="6"/>
        <v>10.21523811469557</v>
      </c>
    </row>
    <row r="112" spans="1:15" x14ac:dyDescent="0.3">
      <c r="A112" s="1">
        <v>42164</v>
      </c>
      <c r="B112">
        <v>26989.519531000002</v>
      </c>
      <c r="C112">
        <f t="shared" si="6"/>
        <v>10.203203904112211</v>
      </c>
    </row>
    <row r="113" spans="1:3" x14ac:dyDescent="0.3">
      <c r="A113" s="1">
        <v>42165</v>
      </c>
      <c r="B113">
        <v>26687.640625</v>
      </c>
      <c r="C113">
        <f t="shared" si="6"/>
        <v>10.191955839277941</v>
      </c>
    </row>
    <row r="114" spans="1:3" x14ac:dyDescent="0.3">
      <c r="A114" s="1">
        <v>42166</v>
      </c>
      <c r="B114">
        <v>26907.849609000001</v>
      </c>
      <c r="C114">
        <f t="shared" si="6"/>
        <v>10.200173330048564</v>
      </c>
    </row>
    <row r="115" spans="1:3" x14ac:dyDescent="0.3">
      <c r="A115" s="1">
        <v>42167</v>
      </c>
      <c r="B115">
        <v>27280.539063</v>
      </c>
      <c r="C115">
        <f t="shared" si="6"/>
        <v>10.213928872136066</v>
      </c>
    </row>
    <row r="116" spans="1:3" x14ac:dyDescent="0.3">
      <c r="A116" s="1">
        <v>42170</v>
      </c>
      <c r="B116">
        <v>26861.810547000001</v>
      </c>
      <c r="C116">
        <f t="shared" si="6"/>
        <v>10.198460874618597</v>
      </c>
    </row>
    <row r="117" spans="1:3" x14ac:dyDescent="0.3">
      <c r="A117" s="1">
        <v>42171</v>
      </c>
      <c r="B117">
        <v>26566.699218999998</v>
      </c>
      <c r="C117">
        <f t="shared" si="6"/>
        <v>10.187413801416849</v>
      </c>
    </row>
    <row r="118" spans="1:3" x14ac:dyDescent="0.3">
      <c r="A118" s="1">
        <v>42172</v>
      </c>
      <c r="B118">
        <v>26753.789063</v>
      </c>
      <c r="C118">
        <f t="shared" si="6"/>
        <v>10.194431389508086</v>
      </c>
    </row>
    <row r="119" spans="1:3" x14ac:dyDescent="0.3">
      <c r="A119" s="1">
        <v>42173</v>
      </c>
      <c r="B119">
        <v>26694.660156000002</v>
      </c>
      <c r="C119">
        <f t="shared" si="6"/>
        <v>10.192218830229539</v>
      </c>
    </row>
    <row r="120" spans="1:3" x14ac:dyDescent="0.3">
      <c r="A120" s="1">
        <v>42174</v>
      </c>
      <c r="B120">
        <v>26760.529297000001</v>
      </c>
      <c r="C120">
        <f t="shared" si="6"/>
        <v>10.194683293456121</v>
      </c>
    </row>
    <row r="121" spans="1:3" x14ac:dyDescent="0.3">
      <c r="A121" s="1">
        <v>42177</v>
      </c>
      <c r="B121">
        <v>27080.849609000001</v>
      </c>
      <c r="C121">
        <f t="shared" si="6"/>
        <v>10.206582100573938</v>
      </c>
    </row>
    <row r="122" spans="1:3" x14ac:dyDescent="0.3">
      <c r="A122" s="1">
        <v>42178</v>
      </c>
      <c r="B122">
        <v>27333.460938</v>
      </c>
      <c r="C122">
        <f t="shared" si="6"/>
        <v>10.215866906030797</v>
      </c>
    </row>
    <row r="123" spans="1:3" x14ac:dyDescent="0.3">
      <c r="A123" s="1">
        <v>42179</v>
      </c>
      <c r="B123">
        <v>27404.970702999999</v>
      </c>
      <c r="C123">
        <f t="shared" si="6"/>
        <v>10.218479688441148</v>
      </c>
    </row>
    <row r="124" spans="1:3" x14ac:dyDescent="0.3">
      <c r="A124" s="1">
        <v>42180</v>
      </c>
      <c r="B124">
        <v>27145.75</v>
      </c>
      <c r="C124">
        <f t="shared" si="6"/>
        <v>10.208975775355546</v>
      </c>
    </row>
    <row r="125" spans="1:3" x14ac:dyDescent="0.3">
      <c r="A125" s="1">
        <v>42181</v>
      </c>
      <c r="B125">
        <v>26663.869140999999</v>
      </c>
      <c r="C125">
        <f t="shared" si="6"/>
        <v>10.191064712272263</v>
      </c>
    </row>
    <row r="126" spans="1:3" x14ac:dyDescent="0.3">
      <c r="A126" s="1">
        <v>42184</v>
      </c>
      <c r="B126">
        <v>25966.980468999998</v>
      </c>
      <c r="C126">
        <f t="shared" si="6"/>
        <v>10.164581027931574</v>
      </c>
    </row>
    <row r="127" spans="1:3" x14ac:dyDescent="0.3">
      <c r="A127" s="1">
        <v>42185</v>
      </c>
      <c r="B127">
        <v>26250.029297000001</v>
      </c>
      <c r="C127">
        <f t="shared" si="6"/>
        <v>10.175422384095338</v>
      </c>
    </row>
    <row r="128" spans="1:3" x14ac:dyDescent="0.3">
      <c r="A128" s="1">
        <v>42187</v>
      </c>
      <c r="B128">
        <v>26282.320313</v>
      </c>
      <c r="C128">
        <f t="shared" si="6"/>
        <v>10.176651760672121</v>
      </c>
    </row>
    <row r="129" spans="1:3" x14ac:dyDescent="0.3">
      <c r="A129" s="1">
        <v>42188</v>
      </c>
      <c r="B129">
        <v>26064.109375</v>
      </c>
      <c r="C129">
        <f t="shared" si="6"/>
        <v>10.168314527234187</v>
      </c>
    </row>
    <row r="130" spans="1:3" x14ac:dyDescent="0.3">
      <c r="A130" s="1">
        <v>42191</v>
      </c>
      <c r="B130">
        <v>25236.279297000001</v>
      </c>
      <c r="C130">
        <f t="shared" si="6"/>
        <v>10.136037892833166</v>
      </c>
    </row>
    <row r="131" spans="1:3" x14ac:dyDescent="0.3">
      <c r="A131" s="1">
        <v>42192</v>
      </c>
      <c r="B131">
        <v>24975.310547000001</v>
      </c>
      <c r="C131">
        <f t="shared" si="6"/>
        <v>10.125643037753763</v>
      </c>
    </row>
    <row r="132" spans="1:3" x14ac:dyDescent="0.3">
      <c r="A132" s="1">
        <v>42193</v>
      </c>
      <c r="B132">
        <v>23516.560547000001</v>
      </c>
      <c r="C132">
        <f t="shared" si="6"/>
        <v>10.065460156072549</v>
      </c>
    </row>
    <row r="133" spans="1:3" x14ac:dyDescent="0.3">
      <c r="A133" s="1">
        <v>42194</v>
      </c>
      <c r="B133">
        <v>24392.789063</v>
      </c>
      <c r="C133">
        <f t="shared" si="6"/>
        <v>10.102042837398718</v>
      </c>
    </row>
    <row r="134" spans="1:3" x14ac:dyDescent="0.3">
      <c r="A134" s="1">
        <v>42195</v>
      </c>
      <c r="B134">
        <v>24901.279297000001</v>
      </c>
      <c r="C134">
        <f t="shared" si="6"/>
        <v>10.122674458522585</v>
      </c>
    </row>
    <row r="135" spans="1:3" x14ac:dyDescent="0.3">
      <c r="A135" s="1">
        <v>42198</v>
      </c>
      <c r="B135">
        <v>25224.009765999999</v>
      </c>
      <c r="C135">
        <f t="shared" ref="C135:C198" si="7">LN(B135)</f>
        <v>10.135551588395771</v>
      </c>
    </row>
    <row r="136" spans="1:3" x14ac:dyDescent="0.3">
      <c r="A136" s="1">
        <v>42199</v>
      </c>
      <c r="B136">
        <v>25120.910156000002</v>
      </c>
      <c r="C136">
        <f t="shared" si="7"/>
        <v>10.131455852250602</v>
      </c>
    </row>
    <row r="137" spans="1:3" x14ac:dyDescent="0.3">
      <c r="A137" s="1">
        <v>42200</v>
      </c>
      <c r="B137">
        <v>25055.759765999999</v>
      </c>
      <c r="C137">
        <f t="shared" si="7"/>
        <v>10.128859010861424</v>
      </c>
    </row>
    <row r="138" spans="1:3" x14ac:dyDescent="0.3">
      <c r="A138" s="1">
        <v>42201</v>
      </c>
      <c r="B138">
        <v>25162.779297000001</v>
      </c>
      <c r="C138">
        <f t="shared" si="7"/>
        <v>10.133121169618189</v>
      </c>
    </row>
    <row r="139" spans="1:3" x14ac:dyDescent="0.3">
      <c r="A139" s="1">
        <v>42202</v>
      </c>
      <c r="B139">
        <v>25415.269531000002</v>
      </c>
      <c r="C139">
        <f t="shared" si="7"/>
        <v>10.143105435018551</v>
      </c>
    </row>
    <row r="140" spans="1:3" x14ac:dyDescent="0.3">
      <c r="A140" s="1">
        <v>42205</v>
      </c>
      <c r="B140">
        <v>25404.810547000001</v>
      </c>
      <c r="C140">
        <f t="shared" si="7"/>
        <v>10.142693826688474</v>
      </c>
    </row>
    <row r="141" spans="1:3" x14ac:dyDescent="0.3">
      <c r="A141" s="1">
        <v>42206</v>
      </c>
      <c r="B141">
        <v>25536.429688</v>
      </c>
      <c r="C141">
        <f t="shared" si="7"/>
        <v>10.147861326862353</v>
      </c>
    </row>
    <row r="142" spans="1:3" x14ac:dyDescent="0.3">
      <c r="A142" s="1">
        <v>42207</v>
      </c>
      <c r="B142">
        <v>25282.619140999999</v>
      </c>
      <c r="C142">
        <f t="shared" si="7"/>
        <v>10.137872448155216</v>
      </c>
    </row>
    <row r="143" spans="1:3" x14ac:dyDescent="0.3">
      <c r="A143" s="1">
        <v>42208</v>
      </c>
      <c r="B143">
        <v>25398.849609000001</v>
      </c>
      <c r="C143">
        <f t="shared" si="7"/>
        <v>10.142459160996708</v>
      </c>
    </row>
    <row r="144" spans="1:3" x14ac:dyDescent="0.3">
      <c r="A144" s="1">
        <v>42209</v>
      </c>
      <c r="B144">
        <v>25128.509765999999</v>
      </c>
      <c r="C144">
        <f t="shared" si="7"/>
        <v>10.131758327784437</v>
      </c>
    </row>
    <row r="145" spans="1:3" x14ac:dyDescent="0.3">
      <c r="A145" s="1">
        <v>42212</v>
      </c>
      <c r="B145">
        <v>24351.960938</v>
      </c>
      <c r="C145">
        <f t="shared" si="7"/>
        <v>10.100367656602964</v>
      </c>
    </row>
    <row r="146" spans="1:3" x14ac:dyDescent="0.3">
      <c r="A146" s="1">
        <v>42213</v>
      </c>
      <c r="B146">
        <v>24503.939452999999</v>
      </c>
      <c r="C146">
        <f t="shared" si="7"/>
        <v>10.106589177606848</v>
      </c>
    </row>
    <row r="147" spans="1:3" x14ac:dyDescent="0.3">
      <c r="A147" s="1">
        <v>42214</v>
      </c>
      <c r="B147">
        <v>24619.449218999998</v>
      </c>
      <c r="C147">
        <f t="shared" si="7"/>
        <v>10.111292028204694</v>
      </c>
    </row>
    <row r="148" spans="1:3" x14ac:dyDescent="0.3">
      <c r="A148" s="1">
        <v>42215</v>
      </c>
      <c r="B148">
        <v>24497.980468999998</v>
      </c>
      <c r="C148">
        <f t="shared" si="7"/>
        <v>10.106345963298558</v>
      </c>
    </row>
    <row r="149" spans="1:3" x14ac:dyDescent="0.3">
      <c r="A149" s="1">
        <v>42216</v>
      </c>
      <c r="B149">
        <v>24636.279297000001</v>
      </c>
      <c r="C149">
        <f t="shared" si="7"/>
        <v>10.111975403688604</v>
      </c>
    </row>
    <row r="150" spans="1:3" x14ac:dyDescent="0.3">
      <c r="A150" s="1">
        <v>42219</v>
      </c>
      <c r="B150">
        <v>24411.419922000001</v>
      </c>
      <c r="C150">
        <f t="shared" si="7"/>
        <v>10.102806331379771</v>
      </c>
    </row>
    <row r="151" spans="1:3" x14ac:dyDescent="0.3">
      <c r="A151" s="1">
        <v>42220</v>
      </c>
      <c r="B151">
        <v>24406.119140999999</v>
      </c>
      <c r="C151">
        <f t="shared" si="7"/>
        <v>10.102589164307338</v>
      </c>
    </row>
    <row r="152" spans="1:3" x14ac:dyDescent="0.3">
      <c r="A152" s="1">
        <v>42221</v>
      </c>
      <c r="B152">
        <v>24514.160156000002</v>
      </c>
      <c r="C152">
        <f t="shared" si="7"/>
        <v>10.107006195126077</v>
      </c>
    </row>
    <row r="153" spans="1:3" x14ac:dyDescent="0.3">
      <c r="A153" s="1">
        <v>42222</v>
      </c>
      <c r="B153">
        <v>24375.279297000001</v>
      </c>
      <c r="C153">
        <f t="shared" si="7"/>
        <v>10.101324754138863</v>
      </c>
    </row>
    <row r="154" spans="1:3" x14ac:dyDescent="0.3">
      <c r="A154" s="1">
        <v>42223</v>
      </c>
      <c r="B154">
        <v>24552.470702999999</v>
      </c>
      <c r="C154">
        <f t="shared" si="7"/>
        <v>10.108567767792239</v>
      </c>
    </row>
    <row r="155" spans="1:3" x14ac:dyDescent="0.3">
      <c r="A155" s="1">
        <v>42226</v>
      </c>
      <c r="B155">
        <v>24521.119140999999</v>
      </c>
      <c r="C155">
        <f t="shared" si="7"/>
        <v>10.107290030974328</v>
      </c>
    </row>
    <row r="156" spans="1:3" x14ac:dyDescent="0.3">
      <c r="A156" s="1">
        <v>42227</v>
      </c>
      <c r="B156">
        <v>24498.210938</v>
      </c>
      <c r="C156">
        <f t="shared" si="7"/>
        <v>10.106355370927739</v>
      </c>
    </row>
    <row r="157" spans="1:3" x14ac:dyDescent="0.3">
      <c r="A157" s="1">
        <v>42228</v>
      </c>
      <c r="B157">
        <v>23916.019531000002</v>
      </c>
      <c r="C157">
        <f t="shared" si="7"/>
        <v>10.082303786650403</v>
      </c>
    </row>
    <row r="158" spans="1:3" x14ac:dyDescent="0.3">
      <c r="A158" s="1">
        <v>42229</v>
      </c>
      <c r="B158">
        <v>24018.800781000002</v>
      </c>
      <c r="C158">
        <f t="shared" si="7"/>
        <v>10.086592168534182</v>
      </c>
    </row>
    <row r="159" spans="1:3" x14ac:dyDescent="0.3">
      <c r="A159" s="1">
        <v>42230</v>
      </c>
      <c r="B159">
        <v>23991.029297000001</v>
      </c>
      <c r="C159">
        <f t="shared" si="7"/>
        <v>10.085435260165525</v>
      </c>
    </row>
    <row r="160" spans="1:3" x14ac:dyDescent="0.3">
      <c r="A160" s="1">
        <v>42233</v>
      </c>
      <c r="B160">
        <v>23814.650390999999</v>
      </c>
      <c r="C160">
        <f t="shared" si="7"/>
        <v>10.078056232925652</v>
      </c>
    </row>
    <row r="161" spans="1:3" x14ac:dyDescent="0.3">
      <c r="A161" s="1">
        <v>42234</v>
      </c>
      <c r="B161">
        <v>23474.970702999999</v>
      </c>
      <c r="C161">
        <f t="shared" si="7"/>
        <v>10.063690056067164</v>
      </c>
    </row>
    <row r="162" spans="1:3" x14ac:dyDescent="0.3">
      <c r="A162" s="1">
        <v>42235</v>
      </c>
      <c r="B162">
        <v>23167.849609000001</v>
      </c>
      <c r="C162">
        <f t="shared" si="7"/>
        <v>10.050520803840135</v>
      </c>
    </row>
    <row r="163" spans="1:3" x14ac:dyDescent="0.3">
      <c r="A163" s="1">
        <v>42236</v>
      </c>
      <c r="B163">
        <v>22757.470702999999</v>
      </c>
      <c r="C163">
        <f t="shared" si="7"/>
        <v>10.032648753022798</v>
      </c>
    </row>
    <row r="164" spans="1:3" x14ac:dyDescent="0.3">
      <c r="A164" s="1">
        <v>42237</v>
      </c>
      <c r="B164">
        <v>22409.619140999999</v>
      </c>
      <c r="C164">
        <f t="shared" si="7"/>
        <v>10.0172455716037</v>
      </c>
    </row>
    <row r="165" spans="1:3" x14ac:dyDescent="0.3">
      <c r="A165" s="1">
        <v>42240</v>
      </c>
      <c r="B165">
        <v>21251.570313</v>
      </c>
      <c r="C165">
        <f t="shared" si="7"/>
        <v>9.9641860687046613</v>
      </c>
    </row>
    <row r="166" spans="1:3" x14ac:dyDescent="0.3">
      <c r="A166" s="1">
        <v>42241</v>
      </c>
      <c r="B166">
        <v>21404.960938</v>
      </c>
      <c r="C166">
        <f t="shared" si="7"/>
        <v>9.9713779936766578</v>
      </c>
    </row>
    <row r="167" spans="1:3" x14ac:dyDescent="0.3">
      <c r="A167" s="1">
        <v>42242</v>
      </c>
      <c r="B167">
        <v>21080.390625</v>
      </c>
      <c r="C167">
        <f t="shared" si="7"/>
        <v>9.9560985330813327</v>
      </c>
    </row>
    <row r="168" spans="1:3" x14ac:dyDescent="0.3">
      <c r="A168" s="1">
        <v>42243</v>
      </c>
      <c r="B168">
        <v>21838.539063</v>
      </c>
      <c r="C168">
        <f t="shared" si="7"/>
        <v>9.9914315349016434</v>
      </c>
    </row>
    <row r="169" spans="1:3" x14ac:dyDescent="0.3">
      <c r="A169" s="1">
        <v>42244</v>
      </c>
      <c r="B169">
        <v>21612.390625</v>
      </c>
      <c r="C169">
        <f t="shared" si="7"/>
        <v>9.9810220692499954</v>
      </c>
    </row>
    <row r="170" spans="1:3" x14ac:dyDescent="0.3">
      <c r="A170" s="1">
        <v>42247</v>
      </c>
      <c r="B170">
        <v>21670.580077999999</v>
      </c>
      <c r="C170">
        <f t="shared" si="7"/>
        <v>9.9837108628846352</v>
      </c>
    </row>
    <row r="171" spans="1:3" x14ac:dyDescent="0.3">
      <c r="A171" s="1">
        <v>42248</v>
      </c>
      <c r="B171">
        <v>21185.429688</v>
      </c>
      <c r="C171">
        <f t="shared" si="7"/>
        <v>9.9610689455077903</v>
      </c>
    </row>
    <row r="172" spans="1:3" x14ac:dyDescent="0.3">
      <c r="A172" s="1">
        <v>42249</v>
      </c>
      <c r="B172">
        <v>20934.939452999999</v>
      </c>
      <c r="C172">
        <f t="shared" si="7"/>
        <v>9.9491747863067168</v>
      </c>
    </row>
    <row r="173" spans="1:3" x14ac:dyDescent="0.3">
      <c r="A173" s="1">
        <v>42251</v>
      </c>
      <c r="B173">
        <v>20840.609375</v>
      </c>
      <c r="C173">
        <f t="shared" si="7"/>
        <v>9.9446587360827987</v>
      </c>
    </row>
    <row r="174" spans="1:3" x14ac:dyDescent="0.3">
      <c r="A174" s="1">
        <v>42254</v>
      </c>
      <c r="B174">
        <v>20583.519531000002</v>
      </c>
      <c r="C174">
        <f t="shared" si="7"/>
        <v>9.9322460118216842</v>
      </c>
    </row>
    <row r="175" spans="1:3" x14ac:dyDescent="0.3">
      <c r="A175" s="1">
        <v>42255</v>
      </c>
      <c r="B175">
        <v>21259.039063</v>
      </c>
      <c r="C175">
        <f t="shared" si="7"/>
        <v>9.9645374515799698</v>
      </c>
    </row>
    <row r="176" spans="1:3" x14ac:dyDescent="0.3">
      <c r="A176" s="1">
        <v>42256</v>
      </c>
      <c r="B176">
        <v>22131.310547000001</v>
      </c>
      <c r="C176">
        <f t="shared" si="7"/>
        <v>10.004748651671212</v>
      </c>
    </row>
    <row r="177" spans="1:3" x14ac:dyDescent="0.3">
      <c r="A177" s="1">
        <v>42257</v>
      </c>
      <c r="B177">
        <v>21562.5</v>
      </c>
      <c r="C177">
        <f t="shared" si="7"/>
        <v>9.9787109737737154</v>
      </c>
    </row>
    <row r="178" spans="1:3" x14ac:dyDescent="0.3">
      <c r="A178" s="1">
        <v>42258</v>
      </c>
      <c r="B178">
        <v>21504.369140999999</v>
      </c>
      <c r="C178">
        <f t="shared" si="7"/>
        <v>9.976011409330674</v>
      </c>
    </row>
    <row r="179" spans="1:3" x14ac:dyDescent="0.3">
      <c r="A179" s="1">
        <v>42261</v>
      </c>
      <c r="B179">
        <v>21561.900390999999</v>
      </c>
      <c r="C179">
        <f t="shared" si="7"/>
        <v>9.9786831654334449</v>
      </c>
    </row>
    <row r="180" spans="1:3" x14ac:dyDescent="0.3">
      <c r="A180" s="1">
        <v>42262</v>
      </c>
      <c r="B180">
        <v>21455.230468999998</v>
      </c>
      <c r="C180">
        <f t="shared" si="7"/>
        <v>9.9737237393394995</v>
      </c>
    </row>
    <row r="181" spans="1:3" x14ac:dyDescent="0.3">
      <c r="A181" s="1">
        <v>42263</v>
      </c>
      <c r="B181">
        <v>21966.660156000002</v>
      </c>
      <c r="C181">
        <f t="shared" si="7"/>
        <v>9.9972811354339779</v>
      </c>
    </row>
    <row r="182" spans="1:3" x14ac:dyDescent="0.3">
      <c r="A182" s="1">
        <v>42264</v>
      </c>
      <c r="B182">
        <v>21854.630859000001</v>
      </c>
      <c r="C182">
        <f t="shared" si="7"/>
        <v>9.9921681166949199</v>
      </c>
    </row>
    <row r="183" spans="1:3" x14ac:dyDescent="0.3">
      <c r="A183" s="1">
        <v>42265</v>
      </c>
      <c r="B183">
        <v>21920.830077999999</v>
      </c>
      <c r="C183">
        <f t="shared" si="7"/>
        <v>9.995192608866855</v>
      </c>
    </row>
    <row r="184" spans="1:3" x14ac:dyDescent="0.3">
      <c r="A184" s="1">
        <v>42268</v>
      </c>
      <c r="B184">
        <v>21756.929688</v>
      </c>
      <c r="C184">
        <f t="shared" si="7"/>
        <v>9.9876875921174335</v>
      </c>
    </row>
    <row r="185" spans="1:3" x14ac:dyDescent="0.3">
      <c r="A185" s="1">
        <v>42269</v>
      </c>
      <c r="B185">
        <v>21796.580077999999</v>
      </c>
      <c r="C185">
        <f t="shared" si="7"/>
        <v>9.9895083593147085</v>
      </c>
    </row>
    <row r="186" spans="1:3" x14ac:dyDescent="0.3">
      <c r="A186" s="1">
        <v>42270</v>
      </c>
      <c r="B186">
        <v>21302.910156000002</v>
      </c>
      <c r="C186">
        <f t="shared" si="7"/>
        <v>9.966598969407146</v>
      </c>
    </row>
    <row r="187" spans="1:3" x14ac:dyDescent="0.3">
      <c r="A187" s="1">
        <v>42271</v>
      </c>
      <c r="B187">
        <v>21095.980468999998</v>
      </c>
      <c r="C187">
        <f t="shared" si="7"/>
        <v>9.9568378022173736</v>
      </c>
    </row>
    <row r="188" spans="1:3" x14ac:dyDescent="0.3">
      <c r="A188" s="1">
        <v>42272</v>
      </c>
      <c r="B188">
        <v>21186.320313</v>
      </c>
      <c r="C188">
        <f t="shared" si="7"/>
        <v>9.9611109841302259</v>
      </c>
    </row>
    <row r="189" spans="1:3" x14ac:dyDescent="0.3">
      <c r="A189" s="1">
        <v>42276</v>
      </c>
      <c r="B189">
        <v>20556.599609000001</v>
      </c>
      <c r="C189">
        <f t="shared" si="7"/>
        <v>9.930937317223572</v>
      </c>
    </row>
    <row r="190" spans="1:3" x14ac:dyDescent="0.3">
      <c r="A190" s="1">
        <v>42277</v>
      </c>
      <c r="B190">
        <v>20846.300781000002</v>
      </c>
      <c r="C190">
        <f t="shared" si="7"/>
        <v>9.9449317909105162</v>
      </c>
    </row>
    <row r="191" spans="1:3" x14ac:dyDescent="0.3">
      <c r="A191" s="1">
        <v>42279</v>
      </c>
      <c r="B191">
        <v>21506.089843999998</v>
      </c>
      <c r="C191">
        <f t="shared" si="7"/>
        <v>9.9760914225665935</v>
      </c>
    </row>
    <row r="192" spans="1:3" x14ac:dyDescent="0.3">
      <c r="A192" s="1">
        <v>42282</v>
      </c>
      <c r="B192">
        <v>21854.5</v>
      </c>
      <c r="C192">
        <f t="shared" si="7"/>
        <v>9.9921621289757674</v>
      </c>
    </row>
    <row r="193" spans="1:3" x14ac:dyDescent="0.3">
      <c r="A193" s="1">
        <v>42283</v>
      </c>
      <c r="B193">
        <v>21831.619140999999</v>
      </c>
      <c r="C193">
        <f t="shared" si="7"/>
        <v>9.9911146172470016</v>
      </c>
    </row>
    <row r="194" spans="1:3" x14ac:dyDescent="0.3">
      <c r="A194" s="1">
        <v>42284</v>
      </c>
      <c r="B194">
        <v>22515.759765999999</v>
      </c>
      <c r="C194">
        <f t="shared" si="7"/>
        <v>10.021970777047517</v>
      </c>
    </row>
    <row r="195" spans="1:3" x14ac:dyDescent="0.3">
      <c r="A195" s="1">
        <v>42285</v>
      </c>
      <c r="B195">
        <v>22354.910156000002</v>
      </c>
      <c r="C195">
        <f t="shared" si="7"/>
        <v>10.014801269693331</v>
      </c>
    </row>
    <row r="196" spans="1:3" x14ac:dyDescent="0.3">
      <c r="A196" s="1">
        <v>42286</v>
      </c>
      <c r="B196">
        <v>22458.800781000002</v>
      </c>
      <c r="C196">
        <f t="shared" si="7"/>
        <v>10.01943783332287</v>
      </c>
    </row>
    <row r="197" spans="1:3" x14ac:dyDescent="0.3">
      <c r="A197" s="1">
        <v>42289</v>
      </c>
      <c r="B197">
        <v>22730.929688</v>
      </c>
      <c r="C197">
        <f t="shared" si="7"/>
        <v>10.031481817373987</v>
      </c>
    </row>
    <row r="198" spans="1:3" x14ac:dyDescent="0.3">
      <c r="A198" s="1">
        <v>42290</v>
      </c>
      <c r="B198">
        <v>22600.460938</v>
      </c>
      <c r="C198">
        <f t="shared" si="7"/>
        <v>10.025725580539119</v>
      </c>
    </row>
    <row r="199" spans="1:3" x14ac:dyDescent="0.3">
      <c r="A199" s="1">
        <v>42291</v>
      </c>
      <c r="B199">
        <v>22439.910156000002</v>
      </c>
      <c r="C199">
        <f t="shared" ref="C199:C262" si="8">LN(B199)</f>
        <v>10.018596355885302</v>
      </c>
    </row>
    <row r="200" spans="1:3" x14ac:dyDescent="0.3">
      <c r="A200" s="1">
        <v>42292</v>
      </c>
      <c r="B200">
        <v>22888.169922000001</v>
      </c>
      <c r="C200">
        <f t="shared" si="8"/>
        <v>10.038375458767399</v>
      </c>
    </row>
    <row r="201" spans="1:3" x14ac:dyDescent="0.3">
      <c r="A201" s="1">
        <v>42293</v>
      </c>
      <c r="B201">
        <v>23067.369140999999</v>
      </c>
      <c r="C201">
        <f t="shared" si="8"/>
        <v>10.046174306563531</v>
      </c>
    </row>
    <row r="202" spans="1:3" x14ac:dyDescent="0.3">
      <c r="A202" s="1">
        <v>42296</v>
      </c>
      <c r="B202">
        <v>23075.609375</v>
      </c>
      <c r="C202">
        <f t="shared" si="8"/>
        <v>10.046531467473059</v>
      </c>
    </row>
    <row r="203" spans="1:3" x14ac:dyDescent="0.3">
      <c r="A203" s="1">
        <v>42297</v>
      </c>
      <c r="B203">
        <v>22989.220702999999</v>
      </c>
      <c r="C203">
        <f t="shared" si="8"/>
        <v>10.042780719966522</v>
      </c>
    </row>
    <row r="204" spans="1:3" x14ac:dyDescent="0.3">
      <c r="A204" s="1">
        <v>42299</v>
      </c>
      <c r="B204">
        <v>22845.369140999999</v>
      </c>
      <c r="C204">
        <f t="shared" si="8"/>
        <v>10.036503712369779</v>
      </c>
    </row>
    <row r="205" spans="1:3" x14ac:dyDescent="0.3">
      <c r="A205" s="1">
        <v>42300</v>
      </c>
      <c r="B205">
        <v>23151.939452999999</v>
      </c>
      <c r="C205">
        <f t="shared" si="8"/>
        <v>10.049833833672613</v>
      </c>
    </row>
    <row r="206" spans="1:3" x14ac:dyDescent="0.3">
      <c r="A206" s="1">
        <v>42303</v>
      </c>
      <c r="B206">
        <v>23116.25</v>
      </c>
      <c r="C206">
        <f t="shared" si="8"/>
        <v>10.048291112399086</v>
      </c>
    </row>
    <row r="207" spans="1:3" x14ac:dyDescent="0.3">
      <c r="A207" s="1">
        <v>42304</v>
      </c>
      <c r="B207">
        <v>23142.730468999998</v>
      </c>
      <c r="C207">
        <f t="shared" si="8"/>
        <v>10.049435991582499</v>
      </c>
    </row>
    <row r="208" spans="1:3" x14ac:dyDescent="0.3">
      <c r="A208" s="1">
        <v>42305</v>
      </c>
      <c r="B208">
        <v>22956.570313</v>
      </c>
      <c r="C208">
        <f t="shared" si="8"/>
        <v>10.041359462664207</v>
      </c>
    </row>
    <row r="209" spans="1:3" x14ac:dyDescent="0.3">
      <c r="A209" s="1">
        <v>42306</v>
      </c>
      <c r="B209">
        <v>22819.939452999999</v>
      </c>
      <c r="C209">
        <f t="shared" si="8"/>
        <v>10.035389970169778</v>
      </c>
    </row>
    <row r="210" spans="1:3" x14ac:dyDescent="0.3">
      <c r="A210" s="1">
        <v>42307</v>
      </c>
      <c r="B210">
        <v>22640.039063</v>
      </c>
      <c r="C210">
        <f t="shared" si="8"/>
        <v>10.027475257713157</v>
      </c>
    </row>
    <row r="211" spans="1:3" x14ac:dyDescent="0.3">
      <c r="A211" s="1">
        <v>42310</v>
      </c>
      <c r="B211">
        <v>22370.039063</v>
      </c>
      <c r="C211">
        <f t="shared" si="8"/>
        <v>10.01547780070527</v>
      </c>
    </row>
    <row r="212" spans="1:3" x14ac:dyDescent="0.3">
      <c r="A212" s="1">
        <v>42311</v>
      </c>
      <c r="B212">
        <v>22568.429688</v>
      </c>
      <c r="C212">
        <f t="shared" si="8"/>
        <v>10.024307292202813</v>
      </c>
    </row>
    <row r="213" spans="1:3" x14ac:dyDescent="0.3">
      <c r="A213" s="1">
        <v>42312</v>
      </c>
      <c r="B213">
        <v>23053.570313</v>
      </c>
      <c r="C213">
        <f t="shared" si="8"/>
        <v>10.045575930703235</v>
      </c>
    </row>
    <row r="214" spans="1:3" x14ac:dyDescent="0.3">
      <c r="A214" s="1">
        <v>42313</v>
      </c>
      <c r="B214">
        <v>23051.039063</v>
      </c>
      <c r="C214">
        <f t="shared" si="8"/>
        <v>10.04546612606388</v>
      </c>
    </row>
    <row r="215" spans="1:3" x14ac:dyDescent="0.3">
      <c r="A215" s="1">
        <v>42314</v>
      </c>
      <c r="B215">
        <v>22867.330077999999</v>
      </c>
      <c r="C215">
        <f t="shared" si="8"/>
        <v>10.037464536782457</v>
      </c>
    </row>
    <row r="216" spans="1:3" x14ac:dyDescent="0.3">
      <c r="A216" s="1">
        <v>42317</v>
      </c>
      <c r="B216">
        <v>22726.769531000002</v>
      </c>
      <c r="C216">
        <f t="shared" si="8"/>
        <v>10.031298783164905</v>
      </c>
    </row>
    <row r="217" spans="1:3" x14ac:dyDescent="0.3">
      <c r="A217" s="1">
        <v>42318</v>
      </c>
      <c r="B217">
        <v>22401.699218999998</v>
      </c>
      <c r="C217">
        <f t="shared" si="8"/>
        <v>10.01689209295713</v>
      </c>
    </row>
    <row r="218" spans="1:3" x14ac:dyDescent="0.3">
      <c r="A218" s="1">
        <v>42319</v>
      </c>
      <c r="B218">
        <v>22352.169922000001</v>
      </c>
      <c r="C218">
        <f t="shared" si="8"/>
        <v>10.01467868356162</v>
      </c>
    </row>
    <row r="219" spans="1:3" x14ac:dyDescent="0.3">
      <c r="A219" s="1">
        <v>42320</v>
      </c>
      <c r="B219">
        <v>22888.919922000001</v>
      </c>
      <c r="C219">
        <f t="shared" si="8"/>
        <v>10.038408226250114</v>
      </c>
    </row>
    <row r="220" spans="1:3" x14ac:dyDescent="0.3">
      <c r="A220" s="1">
        <v>42321</v>
      </c>
      <c r="B220">
        <v>22396.140625</v>
      </c>
      <c r="C220">
        <f t="shared" si="8"/>
        <v>10.01664392947211</v>
      </c>
    </row>
    <row r="221" spans="1:3" x14ac:dyDescent="0.3">
      <c r="A221" s="1">
        <v>42324</v>
      </c>
      <c r="B221">
        <v>22010.820313</v>
      </c>
      <c r="C221">
        <f t="shared" si="8"/>
        <v>9.9992894438396274</v>
      </c>
    </row>
    <row r="222" spans="1:3" x14ac:dyDescent="0.3">
      <c r="A222" s="1">
        <v>42325</v>
      </c>
      <c r="B222">
        <v>22264.25</v>
      </c>
      <c r="C222">
        <f t="shared" si="8"/>
        <v>10.010737532032371</v>
      </c>
    </row>
    <row r="223" spans="1:3" x14ac:dyDescent="0.3">
      <c r="A223" s="1">
        <v>42326</v>
      </c>
      <c r="B223">
        <v>22188.259765999999</v>
      </c>
      <c r="C223">
        <f t="shared" si="8"/>
        <v>10.007318588606141</v>
      </c>
    </row>
    <row r="224" spans="1:3" x14ac:dyDescent="0.3">
      <c r="A224" s="1">
        <v>42327</v>
      </c>
      <c r="B224">
        <v>22500.220702999999</v>
      </c>
      <c r="C224">
        <f t="shared" si="8"/>
        <v>10.021280397166626</v>
      </c>
    </row>
    <row r="225" spans="1:3" x14ac:dyDescent="0.3">
      <c r="A225" s="1">
        <v>42328</v>
      </c>
      <c r="B225">
        <v>22754.720702999999</v>
      </c>
      <c r="C225">
        <f t="shared" si="8"/>
        <v>10.032527906281809</v>
      </c>
    </row>
    <row r="226" spans="1:3" x14ac:dyDescent="0.3">
      <c r="A226" s="1">
        <v>42331</v>
      </c>
      <c r="B226">
        <v>22665.900390999999</v>
      </c>
      <c r="C226">
        <f t="shared" si="8"/>
        <v>10.028616888639277</v>
      </c>
    </row>
    <row r="227" spans="1:3" x14ac:dyDescent="0.3">
      <c r="A227" s="1">
        <v>42332</v>
      </c>
      <c r="B227">
        <v>22587.630859000001</v>
      </c>
      <c r="C227">
        <f t="shared" si="8"/>
        <v>10.025157728309269</v>
      </c>
    </row>
    <row r="228" spans="1:3" x14ac:dyDescent="0.3">
      <c r="A228" s="1">
        <v>42333</v>
      </c>
      <c r="B228">
        <v>22498</v>
      </c>
      <c r="C228">
        <f t="shared" si="8"/>
        <v>10.021181695352771</v>
      </c>
    </row>
    <row r="229" spans="1:3" x14ac:dyDescent="0.3">
      <c r="A229" s="1">
        <v>42334</v>
      </c>
      <c r="B229">
        <v>22488.939452999999</v>
      </c>
      <c r="C229">
        <f t="shared" si="8"/>
        <v>10.020778887460851</v>
      </c>
    </row>
    <row r="230" spans="1:3" x14ac:dyDescent="0.3">
      <c r="A230" s="1">
        <v>42335</v>
      </c>
      <c r="B230">
        <v>22068.320313</v>
      </c>
      <c r="C230">
        <f t="shared" si="8"/>
        <v>10.001898389104818</v>
      </c>
    </row>
    <row r="231" spans="1:3" x14ac:dyDescent="0.3">
      <c r="A231" s="1">
        <v>42338</v>
      </c>
      <c r="B231">
        <v>21996.419922000001</v>
      </c>
      <c r="C231">
        <f t="shared" si="8"/>
        <v>9.9986349882801751</v>
      </c>
    </row>
    <row r="232" spans="1:3" x14ac:dyDescent="0.3">
      <c r="A232" s="1">
        <v>42339</v>
      </c>
      <c r="B232">
        <v>22381.349609000001</v>
      </c>
      <c r="C232">
        <f t="shared" si="8"/>
        <v>10.015983284292551</v>
      </c>
    </row>
    <row r="233" spans="1:3" x14ac:dyDescent="0.3">
      <c r="A233" s="1">
        <v>42340</v>
      </c>
      <c r="B233">
        <v>22479.689452999999</v>
      </c>
      <c r="C233">
        <f t="shared" si="8"/>
        <v>10.020367489543881</v>
      </c>
    </row>
    <row r="234" spans="1:3" x14ac:dyDescent="0.3">
      <c r="A234" s="1">
        <v>42341</v>
      </c>
      <c r="B234">
        <v>22417.009765999999</v>
      </c>
      <c r="C234">
        <f t="shared" si="8"/>
        <v>10.017575314225315</v>
      </c>
    </row>
    <row r="235" spans="1:3" x14ac:dyDescent="0.3">
      <c r="A235" s="1">
        <v>42342</v>
      </c>
      <c r="B235">
        <v>22235.890625</v>
      </c>
      <c r="C235">
        <f t="shared" si="8"/>
        <v>10.009462957235934</v>
      </c>
    </row>
    <row r="236" spans="1:3" x14ac:dyDescent="0.3">
      <c r="A236" s="1">
        <v>42345</v>
      </c>
      <c r="B236">
        <v>22203.220702999999</v>
      </c>
      <c r="C236">
        <f t="shared" si="8"/>
        <v>10.007992634049474</v>
      </c>
    </row>
    <row r="237" spans="1:3" x14ac:dyDescent="0.3">
      <c r="A237" s="1">
        <v>42346</v>
      </c>
      <c r="B237">
        <v>21905.130859000001</v>
      </c>
      <c r="C237">
        <f t="shared" si="8"/>
        <v>9.9944761741630472</v>
      </c>
    </row>
    <row r="238" spans="1:3" x14ac:dyDescent="0.3">
      <c r="A238" s="1">
        <v>42347</v>
      </c>
      <c r="B238">
        <v>21803.759765999999</v>
      </c>
      <c r="C238">
        <f t="shared" si="8"/>
        <v>9.9898377002368477</v>
      </c>
    </row>
    <row r="239" spans="1:3" x14ac:dyDescent="0.3">
      <c r="A239" s="1">
        <v>42348</v>
      </c>
      <c r="B239">
        <v>21704.609375</v>
      </c>
      <c r="C239">
        <f t="shared" si="8"/>
        <v>9.9852799305664472</v>
      </c>
    </row>
    <row r="240" spans="1:3" x14ac:dyDescent="0.3">
      <c r="A240" s="1">
        <v>42349</v>
      </c>
      <c r="B240">
        <v>21464.050781000002</v>
      </c>
      <c r="C240">
        <f t="shared" si="8"/>
        <v>9.9741347579710915</v>
      </c>
    </row>
    <row r="241" spans="1:3" x14ac:dyDescent="0.3">
      <c r="A241" s="1">
        <v>42352</v>
      </c>
      <c r="B241">
        <v>21309.849609000001</v>
      </c>
      <c r="C241">
        <f t="shared" si="8"/>
        <v>9.9669246677707157</v>
      </c>
    </row>
    <row r="242" spans="1:3" x14ac:dyDescent="0.3">
      <c r="A242" s="1">
        <v>42353</v>
      </c>
      <c r="B242">
        <v>21274.369140999999</v>
      </c>
      <c r="C242">
        <f t="shared" si="8"/>
        <v>9.9652583004049831</v>
      </c>
    </row>
    <row r="243" spans="1:3" x14ac:dyDescent="0.3">
      <c r="A243" s="1">
        <v>42354</v>
      </c>
      <c r="B243">
        <v>21701.210938</v>
      </c>
      <c r="C243">
        <f t="shared" si="8"/>
        <v>9.9851233415660587</v>
      </c>
    </row>
    <row r="244" spans="1:3" x14ac:dyDescent="0.3">
      <c r="A244" s="1">
        <v>42355</v>
      </c>
      <c r="B244">
        <v>21872.060547000001</v>
      </c>
      <c r="C244">
        <f t="shared" si="8"/>
        <v>9.9929653272024019</v>
      </c>
    </row>
    <row r="245" spans="1:3" x14ac:dyDescent="0.3">
      <c r="A245" s="1">
        <v>42356</v>
      </c>
      <c r="B245">
        <v>21755.560547000001</v>
      </c>
      <c r="C245">
        <f t="shared" si="8"/>
        <v>9.9876246611753956</v>
      </c>
    </row>
    <row r="246" spans="1:3" x14ac:dyDescent="0.3">
      <c r="A246" s="1">
        <v>42359</v>
      </c>
      <c r="B246">
        <v>21791.679688</v>
      </c>
      <c r="C246">
        <f t="shared" si="8"/>
        <v>9.9892835102362199</v>
      </c>
    </row>
    <row r="247" spans="1:3" x14ac:dyDescent="0.3">
      <c r="A247" s="1">
        <v>42360</v>
      </c>
      <c r="B247">
        <v>21830.019531000002</v>
      </c>
      <c r="C247">
        <f t="shared" si="8"/>
        <v>9.9910413442298012</v>
      </c>
    </row>
    <row r="248" spans="1:3" x14ac:dyDescent="0.3">
      <c r="A248" s="1">
        <v>42361</v>
      </c>
      <c r="B248">
        <v>22040.589843999998</v>
      </c>
      <c r="C248">
        <f t="shared" si="8"/>
        <v>10.000641025340686</v>
      </c>
    </row>
    <row r="249" spans="1:3" x14ac:dyDescent="0.3">
      <c r="A249" s="1">
        <v>42362</v>
      </c>
      <c r="B249">
        <v>22138.130859000001</v>
      </c>
      <c r="C249">
        <f t="shared" si="8"/>
        <v>10.005056778986008</v>
      </c>
    </row>
    <row r="250" spans="1:3" x14ac:dyDescent="0.3">
      <c r="A250" s="1">
        <v>42366</v>
      </c>
      <c r="B250">
        <v>21919.619140999999</v>
      </c>
      <c r="C250">
        <f t="shared" si="8"/>
        <v>9.9951373659566265</v>
      </c>
    </row>
    <row r="251" spans="1:3" x14ac:dyDescent="0.3">
      <c r="A251" s="1">
        <v>42367</v>
      </c>
      <c r="B251">
        <v>21999.619140999999</v>
      </c>
      <c r="C251">
        <f t="shared" si="8"/>
        <v>9.9987804204178747</v>
      </c>
    </row>
    <row r="252" spans="1:3" x14ac:dyDescent="0.3">
      <c r="A252" s="1">
        <v>42368</v>
      </c>
      <c r="B252">
        <v>21882.150390999999</v>
      </c>
      <c r="C252">
        <f t="shared" si="8"/>
        <v>9.9934265328309593</v>
      </c>
    </row>
    <row r="253" spans="1:3" x14ac:dyDescent="0.3">
      <c r="A253" s="1">
        <v>42369</v>
      </c>
      <c r="B253">
        <v>21914.400390999999</v>
      </c>
      <c r="C253">
        <f t="shared" si="8"/>
        <v>9.9948992518123898</v>
      </c>
    </row>
    <row r="254" spans="1:3" x14ac:dyDescent="0.3">
      <c r="A254" s="1">
        <v>42373</v>
      </c>
      <c r="B254">
        <v>21327.119140999999</v>
      </c>
      <c r="C254">
        <f t="shared" si="8"/>
        <v>9.9677347409748247</v>
      </c>
    </row>
    <row r="255" spans="1:3" x14ac:dyDescent="0.3">
      <c r="A255" s="1">
        <v>42374</v>
      </c>
      <c r="B255">
        <v>21188.720702999999</v>
      </c>
      <c r="C255">
        <f t="shared" si="8"/>
        <v>9.9612242767640513</v>
      </c>
    </row>
    <row r="256" spans="1:3" x14ac:dyDescent="0.3">
      <c r="A256" s="1">
        <v>42375</v>
      </c>
      <c r="B256">
        <v>20980.810547000001</v>
      </c>
      <c r="C256">
        <f t="shared" si="8"/>
        <v>9.9513635154747373</v>
      </c>
    </row>
    <row r="257" spans="1:3" x14ac:dyDescent="0.3">
      <c r="A257" s="1">
        <v>42376</v>
      </c>
      <c r="B257">
        <v>20333.339843999998</v>
      </c>
      <c r="C257">
        <f t="shared" si="8"/>
        <v>9.9200171746840091</v>
      </c>
    </row>
    <row r="258" spans="1:3" x14ac:dyDescent="0.3">
      <c r="A258" s="1">
        <v>42377</v>
      </c>
      <c r="B258">
        <v>20453.710938</v>
      </c>
      <c r="C258">
        <f t="shared" si="8"/>
        <v>9.9259196089692345</v>
      </c>
    </row>
    <row r="259" spans="1:3" x14ac:dyDescent="0.3">
      <c r="A259" s="1">
        <v>42380</v>
      </c>
      <c r="B259">
        <v>19888.5</v>
      </c>
      <c r="C259">
        <f t="shared" si="8"/>
        <v>9.8978969542228832</v>
      </c>
    </row>
    <row r="260" spans="1:3" x14ac:dyDescent="0.3">
      <c r="A260" s="1">
        <v>42381</v>
      </c>
      <c r="B260">
        <v>19711.759765999999</v>
      </c>
      <c r="C260">
        <f t="shared" si="8"/>
        <v>9.8889706790633642</v>
      </c>
    </row>
    <row r="261" spans="1:3" x14ac:dyDescent="0.3">
      <c r="A261" s="1">
        <v>42382</v>
      </c>
      <c r="B261">
        <v>19934.880859000001</v>
      </c>
      <c r="C261">
        <f t="shared" si="8"/>
        <v>9.9002262833240575</v>
      </c>
    </row>
    <row r="262" spans="1:3" x14ac:dyDescent="0.3">
      <c r="A262" s="1">
        <v>42383</v>
      </c>
      <c r="B262">
        <v>19817.410156000002</v>
      </c>
      <c r="C262">
        <f t="shared" si="8"/>
        <v>9.8943161311322196</v>
      </c>
    </row>
    <row r="263" spans="1:3" x14ac:dyDescent="0.3">
      <c r="A263" s="1">
        <v>42384</v>
      </c>
      <c r="B263">
        <v>19520.769531000002</v>
      </c>
      <c r="C263">
        <f t="shared" ref="C263:C326" si="9">LN(B263)</f>
        <v>9.8792342818847025</v>
      </c>
    </row>
    <row r="264" spans="1:3" x14ac:dyDescent="0.3">
      <c r="A264" s="1">
        <v>42387</v>
      </c>
      <c r="B264">
        <v>19237.449218999998</v>
      </c>
      <c r="C264">
        <f t="shared" si="9"/>
        <v>9.8646141384555417</v>
      </c>
    </row>
    <row r="265" spans="1:3" x14ac:dyDescent="0.3">
      <c r="A265" s="1">
        <v>42388</v>
      </c>
      <c r="B265">
        <v>19635.810547000001</v>
      </c>
      <c r="C265">
        <f t="shared" si="9"/>
        <v>9.8851102468832828</v>
      </c>
    </row>
    <row r="266" spans="1:3" x14ac:dyDescent="0.3">
      <c r="A266" s="1">
        <v>42389</v>
      </c>
      <c r="B266">
        <v>18886.300781000002</v>
      </c>
      <c r="C266">
        <f t="shared" si="9"/>
        <v>9.8461921118319573</v>
      </c>
    </row>
    <row r="267" spans="1:3" x14ac:dyDescent="0.3">
      <c r="A267" s="1">
        <v>42390</v>
      </c>
      <c r="B267">
        <v>18542.150390999999</v>
      </c>
      <c r="C267">
        <f t="shared" si="9"/>
        <v>9.8278018189635041</v>
      </c>
    </row>
    <row r="268" spans="1:3" x14ac:dyDescent="0.3">
      <c r="A268" s="1">
        <v>42391</v>
      </c>
      <c r="B268">
        <v>19080.509765999999</v>
      </c>
      <c r="C268">
        <f t="shared" si="9"/>
        <v>9.8564226619409752</v>
      </c>
    </row>
    <row r="269" spans="1:3" x14ac:dyDescent="0.3">
      <c r="A269" s="1">
        <v>42394</v>
      </c>
      <c r="B269">
        <v>19340.140625</v>
      </c>
      <c r="C269">
        <f t="shared" si="9"/>
        <v>9.8699380401804362</v>
      </c>
    </row>
    <row r="270" spans="1:3" x14ac:dyDescent="0.3">
      <c r="A270" s="1">
        <v>42395</v>
      </c>
      <c r="B270">
        <v>18860.800781000002</v>
      </c>
      <c r="C270">
        <f t="shared" si="9"/>
        <v>9.8448410145119567</v>
      </c>
    </row>
    <row r="271" spans="1:3" x14ac:dyDescent="0.3">
      <c r="A271" s="1">
        <v>42396</v>
      </c>
      <c r="B271">
        <v>19052.449218999998</v>
      </c>
      <c r="C271">
        <f t="shared" si="9"/>
        <v>9.8549509402172077</v>
      </c>
    </row>
    <row r="272" spans="1:3" x14ac:dyDescent="0.3">
      <c r="A272" s="1">
        <v>42397</v>
      </c>
      <c r="B272">
        <v>19195.830077999999</v>
      </c>
      <c r="C272">
        <f t="shared" si="9"/>
        <v>9.8624483509906344</v>
      </c>
    </row>
    <row r="273" spans="1:3" x14ac:dyDescent="0.3">
      <c r="A273" s="1">
        <v>42398</v>
      </c>
      <c r="B273">
        <v>19683.109375</v>
      </c>
      <c r="C273">
        <f t="shared" si="9"/>
        <v>9.8875161548232349</v>
      </c>
    </row>
    <row r="274" spans="1:3" x14ac:dyDescent="0.3">
      <c r="A274" s="1">
        <v>42401</v>
      </c>
      <c r="B274">
        <v>19595.5</v>
      </c>
      <c r="C274">
        <f t="shared" si="9"/>
        <v>9.8830552270216341</v>
      </c>
    </row>
    <row r="275" spans="1:3" x14ac:dyDescent="0.3">
      <c r="A275" s="1">
        <v>42402</v>
      </c>
      <c r="B275">
        <v>19446.839843999998</v>
      </c>
      <c r="C275">
        <f t="shared" si="9"/>
        <v>9.8754398599590658</v>
      </c>
    </row>
    <row r="276" spans="1:3" x14ac:dyDescent="0.3">
      <c r="A276" s="1">
        <v>42403</v>
      </c>
      <c r="B276">
        <v>18991.589843999998</v>
      </c>
      <c r="C276">
        <f t="shared" si="9"/>
        <v>9.8517515203651929</v>
      </c>
    </row>
    <row r="277" spans="1:3" x14ac:dyDescent="0.3">
      <c r="A277" s="1">
        <v>42404</v>
      </c>
      <c r="B277">
        <v>19183.089843999998</v>
      </c>
      <c r="C277">
        <f t="shared" si="9"/>
        <v>9.861784432647239</v>
      </c>
    </row>
    <row r="278" spans="1:3" x14ac:dyDescent="0.3">
      <c r="A278" s="1">
        <v>42405</v>
      </c>
      <c r="B278">
        <v>19288.169922000001</v>
      </c>
      <c r="C278">
        <f t="shared" si="9"/>
        <v>9.8672472295484557</v>
      </c>
    </row>
    <row r="279" spans="1:3" x14ac:dyDescent="0.3">
      <c r="A279" s="1">
        <v>42411</v>
      </c>
      <c r="B279">
        <v>18545.800781000002</v>
      </c>
      <c r="C279">
        <f t="shared" si="9"/>
        <v>9.8279986694174344</v>
      </c>
    </row>
    <row r="280" spans="1:3" x14ac:dyDescent="0.3">
      <c r="A280" s="1">
        <v>42412</v>
      </c>
      <c r="B280">
        <v>18319.580077999999</v>
      </c>
      <c r="C280">
        <f t="shared" si="9"/>
        <v>9.8157257164588696</v>
      </c>
    </row>
    <row r="281" spans="1:3" x14ac:dyDescent="0.3">
      <c r="A281" s="1">
        <v>42415</v>
      </c>
      <c r="B281">
        <v>18918.140625</v>
      </c>
      <c r="C281">
        <f t="shared" si="9"/>
        <v>9.8478765621422539</v>
      </c>
    </row>
    <row r="282" spans="1:3" x14ac:dyDescent="0.3">
      <c r="A282" s="1">
        <v>42416</v>
      </c>
      <c r="B282">
        <v>19122.080077999999</v>
      </c>
      <c r="C282">
        <f t="shared" si="9"/>
        <v>9.8585989713784912</v>
      </c>
    </row>
    <row r="283" spans="1:3" x14ac:dyDescent="0.3">
      <c r="A283" s="1">
        <v>42417</v>
      </c>
      <c r="B283">
        <v>18924.570313</v>
      </c>
      <c r="C283">
        <f t="shared" si="9"/>
        <v>9.8482163733186994</v>
      </c>
    </row>
    <row r="284" spans="1:3" x14ac:dyDescent="0.3">
      <c r="A284" s="1">
        <v>42418</v>
      </c>
      <c r="B284">
        <v>19363.080077999999</v>
      </c>
      <c r="C284">
        <f t="shared" si="9"/>
        <v>9.8711234431143264</v>
      </c>
    </row>
    <row r="285" spans="1:3" x14ac:dyDescent="0.3">
      <c r="A285" s="1">
        <v>42419</v>
      </c>
      <c r="B285">
        <v>19285.5</v>
      </c>
      <c r="C285">
        <f t="shared" si="9"/>
        <v>9.8671087971924134</v>
      </c>
    </row>
    <row r="286" spans="1:3" x14ac:dyDescent="0.3">
      <c r="A286" s="1">
        <v>42422</v>
      </c>
      <c r="B286">
        <v>19464.089843999998</v>
      </c>
      <c r="C286">
        <f t="shared" si="9"/>
        <v>9.876326500358994</v>
      </c>
    </row>
    <row r="287" spans="1:3" x14ac:dyDescent="0.3">
      <c r="A287" s="1">
        <v>42423</v>
      </c>
      <c r="B287">
        <v>19414.779297000001</v>
      </c>
      <c r="C287">
        <f t="shared" si="9"/>
        <v>9.8737898744472794</v>
      </c>
    </row>
    <row r="288" spans="1:3" x14ac:dyDescent="0.3">
      <c r="A288" s="1">
        <v>42424</v>
      </c>
      <c r="B288">
        <v>19192.449218999998</v>
      </c>
      <c r="C288">
        <f t="shared" si="9"/>
        <v>9.8622722108212582</v>
      </c>
    </row>
    <row r="289" spans="1:3" x14ac:dyDescent="0.3">
      <c r="A289" s="1">
        <v>42425</v>
      </c>
      <c r="B289">
        <v>18888.75</v>
      </c>
      <c r="C289">
        <f t="shared" si="9"/>
        <v>9.8463217857279695</v>
      </c>
    </row>
    <row r="290" spans="1:3" x14ac:dyDescent="0.3">
      <c r="A290" s="1">
        <v>42426</v>
      </c>
      <c r="B290">
        <v>19364.150390999999</v>
      </c>
      <c r="C290">
        <f t="shared" si="9"/>
        <v>9.8711787175549368</v>
      </c>
    </row>
    <row r="291" spans="1:3" x14ac:dyDescent="0.3">
      <c r="A291" s="1">
        <v>42429</v>
      </c>
      <c r="B291">
        <v>19111.929688</v>
      </c>
      <c r="C291">
        <f t="shared" si="9"/>
        <v>9.8580680100537119</v>
      </c>
    </row>
    <row r="292" spans="1:3" x14ac:dyDescent="0.3">
      <c r="A292" s="1">
        <v>42430</v>
      </c>
      <c r="B292">
        <v>19407.460938</v>
      </c>
      <c r="C292">
        <f t="shared" si="9"/>
        <v>9.8734128555507716</v>
      </c>
    </row>
    <row r="293" spans="1:3" x14ac:dyDescent="0.3">
      <c r="A293" s="1">
        <v>42431</v>
      </c>
      <c r="B293">
        <v>20003.490234000001</v>
      </c>
      <c r="C293">
        <f t="shared" si="9"/>
        <v>9.9036620490107321</v>
      </c>
    </row>
    <row r="294" spans="1:3" x14ac:dyDescent="0.3">
      <c r="A294" s="1">
        <v>42432</v>
      </c>
      <c r="B294">
        <v>19941.759765999999</v>
      </c>
      <c r="C294">
        <f t="shared" si="9"/>
        <v>9.9005712926809348</v>
      </c>
    </row>
    <row r="295" spans="1:3" x14ac:dyDescent="0.3">
      <c r="A295" s="1">
        <v>42433</v>
      </c>
      <c r="B295">
        <v>20176.699218999998</v>
      </c>
      <c r="C295">
        <f t="shared" si="9"/>
        <v>9.9122837135815942</v>
      </c>
    </row>
    <row r="296" spans="1:3" x14ac:dyDescent="0.3">
      <c r="A296" s="1">
        <v>42436</v>
      </c>
      <c r="B296">
        <v>20159.720702999999</v>
      </c>
      <c r="C296">
        <f t="shared" si="9"/>
        <v>9.9114418680714795</v>
      </c>
    </row>
    <row r="297" spans="1:3" x14ac:dyDescent="0.3">
      <c r="A297" s="1">
        <v>42437</v>
      </c>
      <c r="B297">
        <v>20011.580077999999</v>
      </c>
      <c r="C297">
        <f t="shared" si="9"/>
        <v>9.9040663888780447</v>
      </c>
    </row>
    <row r="298" spans="1:3" x14ac:dyDescent="0.3">
      <c r="A298" s="1">
        <v>42438</v>
      </c>
      <c r="B298">
        <v>19996.259765999999</v>
      </c>
      <c r="C298">
        <f t="shared" si="9"/>
        <v>9.9033005233472604</v>
      </c>
    </row>
    <row r="299" spans="1:3" x14ac:dyDescent="0.3">
      <c r="A299" s="1">
        <v>42439</v>
      </c>
      <c r="B299">
        <v>19984.419922000001</v>
      </c>
      <c r="C299">
        <f t="shared" si="9"/>
        <v>9.9027082450549191</v>
      </c>
    </row>
    <row r="300" spans="1:3" x14ac:dyDescent="0.3">
      <c r="A300" s="1">
        <v>42440</v>
      </c>
      <c r="B300">
        <v>20199.599609000001</v>
      </c>
      <c r="C300">
        <f t="shared" si="9"/>
        <v>9.913418061856218</v>
      </c>
    </row>
    <row r="301" spans="1:3" x14ac:dyDescent="0.3">
      <c r="A301" s="1">
        <v>42443</v>
      </c>
      <c r="B301">
        <v>20435.339843999998</v>
      </c>
      <c r="C301">
        <f t="shared" si="9"/>
        <v>9.925021026347002</v>
      </c>
    </row>
    <row r="302" spans="1:3" x14ac:dyDescent="0.3">
      <c r="A302" s="1">
        <v>42444</v>
      </c>
      <c r="B302">
        <v>20288.769531000002</v>
      </c>
      <c r="C302">
        <f t="shared" si="9"/>
        <v>9.9178227868705324</v>
      </c>
    </row>
    <row r="303" spans="1:3" x14ac:dyDescent="0.3">
      <c r="A303" s="1">
        <v>42445</v>
      </c>
      <c r="B303">
        <v>20257.699218999998</v>
      </c>
      <c r="C303">
        <f t="shared" si="9"/>
        <v>9.9162902086194862</v>
      </c>
    </row>
    <row r="304" spans="1:3" x14ac:dyDescent="0.3">
      <c r="A304" s="1">
        <v>42446</v>
      </c>
      <c r="B304">
        <v>20503.810547000001</v>
      </c>
      <c r="C304">
        <f t="shared" si="9"/>
        <v>9.9283660281943522</v>
      </c>
    </row>
    <row r="305" spans="1:3" x14ac:dyDescent="0.3">
      <c r="A305" s="1">
        <v>42447</v>
      </c>
      <c r="B305">
        <v>20671.630859000001</v>
      </c>
      <c r="C305">
        <f t="shared" si="9"/>
        <v>9.9365175493698707</v>
      </c>
    </row>
    <row r="306" spans="1:3" x14ac:dyDescent="0.3">
      <c r="A306" s="1">
        <v>42450</v>
      </c>
      <c r="B306">
        <v>20684.150390999999</v>
      </c>
      <c r="C306">
        <f t="shared" si="9"/>
        <v>9.9371230043753886</v>
      </c>
    </row>
    <row r="307" spans="1:3" x14ac:dyDescent="0.3">
      <c r="A307" s="1">
        <v>42451</v>
      </c>
      <c r="B307">
        <v>20666.75</v>
      </c>
      <c r="C307">
        <f t="shared" si="9"/>
        <v>9.9362814076090533</v>
      </c>
    </row>
    <row r="308" spans="1:3" x14ac:dyDescent="0.3">
      <c r="A308" s="1">
        <v>42452</v>
      </c>
      <c r="B308">
        <v>20615.230468999998</v>
      </c>
      <c r="C308">
        <f t="shared" si="9"/>
        <v>9.933785424753502</v>
      </c>
    </row>
    <row r="309" spans="1:3" x14ac:dyDescent="0.3">
      <c r="A309" s="1">
        <v>42453</v>
      </c>
      <c r="B309">
        <v>20345.609375</v>
      </c>
      <c r="C309">
        <f t="shared" si="9"/>
        <v>9.9206204120639132</v>
      </c>
    </row>
    <row r="310" spans="1:3" x14ac:dyDescent="0.3">
      <c r="A310" s="1">
        <v>42458</v>
      </c>
      <c r="B310">
        <v>20366.300781000002</v>
      </c>
      <c r="C310">
        <f t="shared" si="9"/>
        <v>9.9216368914038551</v>
      </c>
    </row>
    <row r="311" spans="1:3" x14ac:dyDescent="0.3">
      <c r="A311" s="1">
        <v>42459</v>
      </c>
      <c r="B311">
        <v>20803.390625</v>
      </c>
      <c r="C311">
        <f t="shared" si="9"/>
        <v>9.9428712632218978</v>
      </c>
    </row>
    <row r="312" spans="1:3" x14ac:dyDescent="0.3">
      <c r="A312" s="1">
        <v>42460</v>
      </c>
      <c r="B312">
        <v>20776.699218999998</v>
      </c>
      <c r="C312">
        <f t="shared" si="9"/>
        <v>9.9415874079071838</v>
      </c>
    </row>
    <row r="313" spans="1:3" x14ac:dyDescent="0.3">
      <c r="A313" s="1">
        <v>42461</v>
      </c>
      <c r="B313">
        <v>20498.919922000001</v>
      </c>
      <c r="C313">
        <f t="shared" si="9"/>
        <v>9.9281274770067984</v>
      </c>
    </row>
    <row r="314" spans="1:3" x14ac:dyDescent="0.3">
      <c r="A314" s="1">
        <v>42465</v>
      </c>
      <c r="B314">
        <v>20177</v>
      </c>
      <c r="C314">
        <f t="shared" si="9"/>
        <v>9.9122986208146777</v>
      </c>
    </row>
    <row r="315" spans="1:3" x14ac:dyDescent="0.3">
      <c r="A315" s="1">
        <v>42466</v>
      </c>
      <c r="B315">
        <v>20206.669922000001</v>
      </c>
      <c r="C315">
        <f t="shared" si="9"/>
        <v>9.913768023045618</v>
      </c>
    </row>
    <row r="316" spans="1:3" x14ac:dyDescent="0.3">
      <c r="A316" s="1">
        <v>42467</v>
      </c>
      <c r="B316">
        <v>20266.050781000002</v>
      </c>
      <c r="C316">
        <f t="shared" si="9"/>
        <v>9.9167023897289965</v>
      </c>
    </row>
    <row r="317" spans="1:3" x14ac:dyDescent="0.3">
      <c r="A317" s="1">
        <v>42468</v>
      </c>
      <c r="B317">
        <v>20370.400390999999</v>
      </c>
      <c r="C317">
        <f t="shared" si="9"/>
        <v>9.9218381649432388</v>
      </c>
    </row>
    <row r="318" spans="1:3" x14ac:dyDescent="0.3">
      <c r="A318" s="1">
        <v>42471</v>
      </c>
      <c r="B318">
        <v>20440.810547000001</v>
      </c>
      <c r="C318">
        <f t="shared" si="9"/>
        <v>9.9252886984726967</v>
      </c>
    </row>
    <row r="319" spans="1:3" x14ac:dyDescent="0.3">
      <c r="A319" s="1">
        <v>42472</v>
      </c>
      <c r="B319">
        <v>20504.439452999999</v>
      </c>
      <c r="C319">
        <f t="shared" si="9"/>
        <v>9.9283967003639795</v>
      </c>
    </row>
    <row r="320" spans="1:3" x14ac:dyDescent="0.3">
      <c r="A320" s="1">
        <v>42473</v>
      </c>
      <c r="B320">
        <v>21158.710938</v>
      </c>
      <c r="C320">
        <f t="shared" si="9"/>
        <v>9.9598069643622988</v>
      </c>
    </row>
    <row r="321" spans="1:3" x14ac:dyDescent="0.3">
      <c r="A321" s="1">
        <v>42474</v>
      </c>
      <c r="B321">
        <v>21337.810547000001</v>
      </c>
      <c r="C321">
        <f t="shared" si="9"/>
        <v>9.9682359210448244</v>
      </c>
    </row>
    <row r="322" spans="1:3" x14ac:dyDescent="0.3">
      <c r="A322" s="1">
        <v>42475</v>
      </c>
      <c r="B322">
        <v>21316.470702999999</v>
      </c>
      <c r="C322">
        <f t="shared" si="9"/>
        <v>9.9672353253177342</v>
      </c>
    </row>
    <row r="323" spans="1:3" x14ac:dyDescent="0.3">
      <c r="A323" s="1">
        <v>42478</v>
      </c>
      <c r="B323">
        <v>21161.5</v>
      </c>
      <c r="C323">
        <f t="shared" si="9"/>
        <v>9.9599387719285755</v>
      </c>
    </row>
    <row r="324" spans="1:3" x14ac:dyDescent="0.3">
      <c r="A324" s="1">
        <v>42479</v>
      </c>
      <c r="B324">
        <v>21436.210938</v>
      </c>
      <c r="C324">
        <f t="shared" si="9"/>
        <v>9.972836870928333</v>
      </c>
    </row>
    <row r="325" spans="1:3" x14ac:dyDescent="0.3">
      <c r="A325" s="1">
        <v>42480</v>
      </c>
      <c r="B325">
        <v>21236.310547000001</v>
      </c>
      <c r="C325">
        <f t="shared" si="9"/>
        <v>9.9634677572074875</v>
      </c>
    </row>
    <row r="326" spans="1:3" x14ac:dyDescent="0.3">
      <c r="A326" s="1">
        <v>42481</v>
      </c>
      <c r="B326">
        <v>21622.25</v>
      </c>
      <c r="C326">
        <f t="shared" si="9"/>
        <v>9.9814781560835328</v>
      </c>
    </row>
    <row r="327" spans="1:3" x14ac:dyDescent="0.3">
      <c r="A327" s="1">
        <v>42482</v>
      </c>
      <c r="B327">
        <v>21467.039063</v>
      </c>
      <c r="C327">
        <f t="shared" ref="C327:C390" si="10">LN(B327)</f>
        <v>9.9742739709291452</v>
      </c>
    </row>
    <row r="328" spans="1:3" x14ac:dyDescent="0.3">
      <c r="A328" s="1">
        <v>42485</v>
      </c>
      <c r="B328">
        <v>21304.439452999999</v>
      </c>
      <c r="C328">
        <f t="shared" si="10"/>
        <v>9.9666707550035127</v>
      </c>
    </row>
    <row r="329" spans="1:3" x14ac:dyDescent="0.3">
      <c r="A329" s="1">
        <v>42486</v>
      </c>
      <c r="B329">
        <v>21407.269531000002</v>
      </c>
      <c r="C329">
        <f t="shared" si="10"/>
        <v>9.971485841036019</v>
      </c>
    </row>
    <row r="330" spans="1:3" x14ac:dyDescent="0.3">
      <c r="A330" s="1">
        <v>42487</v>
      </c>
      <c r="B330">
        <v>21361.599609000001</v>
      </c>
      <c r="C330">
        <f t="shared" si="10"/>
        <v>9.9693501783319576</v>
      </c>
    </row>
    <row r="331" spans="1:3" x14ac:dyDescent="0.3">
      <c r="A331" s="1">
        <v>42488</v>
      </c>
      <c r="B331">
        <v>21388.029297000001</v>
      </c>
      <c r="C331">
        <f t="shared" si="10"/>
        <v>9.9705866658544799</v>
      </c>
    </row>
    <row r="332" spans="1:3" x14ac:dyDescent="0.3">
      <c r="A332" s="1">
        <v>42489</v>
      </c>
      <c r="B332">
        <v>21067.050781000002</v>
      </c>
      <c r="C332">
        <f t="shared" si="10"/>
        <v>9.9554655245759314</v>
      </c>
    </row>
    <row r="333" spans="1:3" x14ac:dyDescent="0.3">
      <c r="A333" s="1">
        <v>42493</v>
      </c>
      <c r="B333">
        <v>20676.939452999999</v>
      </c>
      <c r="C333">
        <f t="shared" si="10"/>
        <v>9.9367743221670484</v>
      </c>
    </row>
    <row r="334" spans="1:3" x14ac:dyDescent="0.3">
      <c r="A334" s="1">
        <v>42494</v>
      </c>
      <c r="B334">
        <v>20525.830077999999</v>
      </c>
      <c r="C334">
        <f t="shared" si="10"/>
        <v>9.9294393757927519</v>
      </c>
    </row>
    <row r="335" spans="1:3" x14ac:dyDescent="0.3">
      <c r="A335" s="1">
        <v>42495</v>
      </c>
      <c r="B335">
        <v>20449.820313</v>
      </c>
      <c r="C335">
        <f t="shared" si="10"/>
        <v>9.9257293747819784</v>
      </c>
    </row>
    <row r="336" spans="1:3" x14ac:dyDescent="0.3">
      <c r="A336" s="1">
        <v>42496</v>
      </c>
      <c r="B336">
        <v>20109.869140999999</v>
      </c>
      <c r="C336">
        <f t="shared" si="10"/>
        <v>9.9089659755849091</v>
      </c>
    </row>
    <row r="337" spans="1:3" x14ac:dyDescent="0.3">
      <c r="A337" s="1">
        <v>42499</v>
      </c>
      <c r="B337">
        <v>20156.810547000001</v>
      </c>
      <c r="C337">
        <f t="shared" si="10"/>
        <v>9.911297502675211</v>
      </c>
    </row>
    <row r="338" spans="1:3" x14ac:dyDescent="0.3">
      <c r="A338" s="1">
        <v>42500</v>
      </c>
      <c r="B338">
        <v>20242.679688</v>
      </c>
      <c r="C338">
        <f t="shared" si="10"/>
        <v>9.9155485102900442</v>
      </c>
    </row>
    <row r="339" spans="1:3" x14ac:dyDescent="0.3">
      <c r="A339" s="1">
        <v>42501</v>
      </c>
      <c r="B339">
        <v>20055.289063</v>
      </c>
      <c r="C339">
        <f t="shared" si="10"/>
        <v>9.9062481916131198</v>
      </c>
    </row>
    <row r="340" spans="1:3" x14ac:dyDescent="0.3">
      <c r="A340" s="1">
        <v>42502</v>
      </c>
      <c r="B340">
        <v>19915.460938</v>
      </c>
      <c r="C340">
        <f t="shared" si="10"/>
        <v>9.8992516406152831</v>
      </c>
    </row>
    <row r="341" spans="1:3" x14ac:dyDescent="0.3">
      <c r="A341" s="1">
        <v>42503</v>
      </c>
      <c r="B341">
        <v>19719.289063</v>
      </c>
      <c r="C341">
        <f t="shared" si="10"/>
        <v>9.889352575934744</v>
      </c>
    </row>
    <row r="342" spans="1:3" x14ac:dyDescent="0.3">
      <c r="A342" s="1">
        <v>42506</v>
      </c>
      <c r="B342">
        <v>19883.949218999998</v>
      </c>
      <c r="C342">
        <f t="shared" si="10"/>
        <v>9.8976681133488995</v>
      </c>
    </row>
    <row r="343" spans="1:3" x14ac:dyDescent="0.3">
      <c r="A343" s="1">
        <v>42507</v>
      </c>
      <c r="B343">
        <v>20118.800781000002</v>
      </c>
      <c r="C343">
        <f t="shared" si="10"/>
        <v>9.9094100191073071</v>
      </c>
    </row>
    <row r="344" spans="1:3" x14ac:dyDescent="0.3">
      <c r="A344" s="1">
        <v>42508</v>
      </c>
      <c r="B344">
        <v>19826.410156000002</v>
      </c>
      <c r="C344">
        <f t="shared" si="10"/>
        <v>9.8947701741625718</v>
      </c>
    </row>
    <row r="345" spans="1:3" x14ac:dyDescent="0.3">
      <c r="A345" s="1">
        <v>42509</v>
      </c>
      <c r="B345">
        <v>19694.330077999999</v>
      </c>
      <c r="C345">
        <f t="shared" si="10"/>
        <v>9.8880860600003917</v>
      </c>
    </row>
    <row r="346" spans="1:3" x14ac:dyDescent="0.3">
      <c r="A346" s="1">
        <v>42510</v>
      </c>
      <c r="B346">
        <v>19852.199218999998</v>
      </c>
      <c r="C346">
        <f t="shared" si="10"/>
        <v>9.8960700718675376</v>
      </c>
    </row>
    <row r="347" spans="1:3" x14ac:dyDescent="0.3">
      <c r="A347" s="1">
        <v>42513</v>
      </c>
      <c r="B347">
        <v>19809.029297000001</v>
      </c>
      <c r="C347">
        <f t="shared" si="10"/>
        <v>9.8938931378357911</v>
      </c>
    </row>
    <row r="348" spans="1:3" x14ac:dyDescent="0.3">
      <c r="A348" s="1">
        <v>42514</v>
      </c>
      <c r="B348">
        <v>19830.429688</v>
      </c>
      <c r="C348">
        <f t="shared" si="10"/>
        <v>9.8949728898620357</v>
      </c>
    </row>
    <row r="349" spans="1:3" x14ac:dyDescent="0.3">
      <c r="A349" s="1">
        <v>42515</v>
      </c>
      <c r="B349">
        <v>20368.050781000002</v>
      </c>
      <c r="C349">
        <f t="shared" si="10"/>
        <v>9.9217228139696498</v>
      </c>
    </row>
    <row r="350" spans="1:3" x14ac:dyDescent="0.3">
      <c r="A350" s="1">
        <v>42516</v>
      </c>
      <c r="B350">
        <v>20397.109375</v>
      </c>
      <c r="C350">
        <f t="shared" si="10"/>
        <v>9.9231484724883749</v>
      </c>
    </row>
    <row r="351" spans="1:3" x14ac:dyDescent="0.3">
      <c r="A351" s="1">
        <v>42517</v>
      </c>
      <c r="B351">
        <v>20576.769531000002</v>
      </c>
      <c r="C351">
        <f t="shared" si="10"/>
        <v>9.9319180257839612</v>
      </c>
    </row>
    <row r="352" spans="1:3" x14ac:dyDescent="0.3">
      <c r="A352" s="1">
        <v>42520</v>
      </c>
      <c r="B352">
        <v>20629.390625</v>
      </c>
      <c r="C352">
        <f t="shared" si="10"/>
        <v>9.9344720673352871</v>
      </c>
    </row>
    <row r="353" spans="1:3" x14ac:dyDescent="0.3">
      <c r="A353" s="1">
        <v>42521</v>
      </c>
      <c r="B353">
        <v>20815.089843999998</v>
      </c>
      <c r="C353">
        <f t="shared" si="10"/>
        <v>9.9434334759301137</v>
      </c>
    </row>
    <row r="354" spans="1:3" x14ac:dyDescent="0.3">
      <c r="A354" s="1">
        <v>42522</v>
      </c>
      <c r="B354">
        <v>20760.980468999998</v>
      </c>
      <c r="C354">
        <f t="shared" si="10"/>
        <v>9.9408305649218072</v>
      </c>
    </row>
    <row r="355" spans="1:3" x14ac:dyDescent="0.3">
      <c r="A355" s="1">
        <v>42523</v>
      </c>
      <c r="B355">
        <v>20859.220702999999</v>
      </c>
      <c r="C355">
        <f t="shared" si="10"/>
        <v>9.9455513694197197</v>
      </c>
    </row>
    <row r="356" spans="1:3" x14ac:dyDescent="0.3">
      <c r="A356" s="1">
        <v>42524</v>
      </c>
      <c r="B356">
        <v>20947.240234000001</v>
      </c>
      <c r="C356">
        <f t="shared" si="10"/>
        <v>9.9497621855989991</v>
      </c>
    </row>
    <row r="357" spans="1:3" x14ac:dyDescent="0.3">
      <c r="A357" s="1">
        <v>42527</v>
      </c>
      <c r="B357">
        <v>21030.220702999999</v>
      </c>
      <c r="C357">
        <f t="shared" si="10"/>
        <v>9.9537157633159516</v>
      </c>
    </row>
    <row r="358" spans="1:3" x14ac:dyDescent="0.3">
      <c r="A358" s="1">
        <v>42528</v>
      </c>
      <c r="B358">
        <v>21328.240234000001</v>
      </c>
      <c r="C358">
        <f t="shared" si="10"/>
        <v>9.9677873061397495</v>
      </c>
    </row>
    <row r="359" spans="1:3" x14ac:dyDescent="0.3">
      <c r="A359" s="1">
        <v>42529</v>
      </c>
      <c r="B359">
        <v>21297.880859000001</v>
      </c>
      <c r="C359">
        <f t="shared" si="10"/>
        <v>9.9663628565602469</v>
      </c>
    </row>
    <row r="360" spans="1:3" x14ac:dyDescent="0.3">
      <c r="A360" s="1">
        <v>42531</v>
      </c>
      <c r="B360">
        <v>21042.640625</v>
      </c>
      <c r="C360">
        <f t="shared" si="10"/>
        <v>9.9543061639670487</v>
      </c>
    </row>
    <row r="361" spans="1:3" x14ac:dyDescent="0.3">
      <c r="A361" s="1">
        <v>42534</v>
      </c>
      <c r="B361">
        <v>20512.990234000001</v>
      </c>
      <c r="C361">
        <f t="shared" si="10"/>
        <v>9.9288136343936895</v>
      </c>
    </row>
    <row r="362" spans="1:3" x14ac:dyDescent="0.3">
      <c r="A362" s="1">
        <v>42535</v>
      </c>
      <c r="B362">
        <v>20387.529297000001</v>
      </c>
      <c r="C362">
        <f t="shared" si="10"/>
        <v>9.9226786839362067</v>
      </c>
    </row>
    <row r="363" spans="1:3" x14ac:dyDescent="0.3">
      <c r="A363" s="1">
        <v>42536</v>
      </c>
      <c r="B363">
        <v>20467.519531000002</v>
      </c>
      <c r="C363">
        <f t="shared" si="10"/>
        <v>9.9265944954946814</v>
      </c>
    </row>
    <row r="364" spans="1:3" x14ac:dyDescent="0.3">
      <c r="A364" s="1">
        <v>42537</v>
      </c>
      <c r="B364">
        <v>20038.419922000001</v>
      </c>
      <c r="C364">
        <f t="shared" si="10"/>
        <v>9.9054067058826902</v>
      </c>
    </row>
    <row r="365" spans="1:3" x14ac:dyDescent="0.3">
      <c r="A365" s="1">
        <v>42538</v>
      </c>
      <c r="B365">
        <v>20169.980468999998</v>
      </c>
      <c r="C365">
        <f t="shared" si="10"/>
        <v>9.9119506626285023</v>
      </c>
    </row>
    <row r="366" spans="1:3" x14ac:dyDescent="0.3">
      <c r="A366" s="1">
        <v>42541</v>
      </c>
      <c r="B366">
        <v>20510.199218999998</v>
      </c>
      <c r="C366">
        <f t="shared" si="10"/>
        <v>9.9286775642810756</v>
      </c>
    </row>
    <row r="367" spans="1:3" x14ac:dyDescent="0.3">
      <c r="A367" s="1">
        <v>42542</v>
      </c>
      <c r="B367">
        <v>20668.439452999999</v>
      </c>
      <c r="C367">
        <f t="shared" si="10"/>
        <v>9.9363631516640982</v>
      </c>
    </row>
    <row r="368" spans="1:3" x14ac:dyDescent="0.3">
      <c r="A368" s="1">
        <v>42543</v>
      </c>
      <c r="B368">
        <v>20795.119140999999</v>
      </c>
      <c r="C368">
        <f t="shared" si="10"/>
        <v>9.9424735814705301</v>
      </c>
    </row>
    <row r="369" spans="1:3" x14ac:dyDescent="0.3">
      <c r="A369" s="1">
        <v>42544</v>
      </c>
      <c r="B369">
        <v>20868.339843999998</v>
      </c>
      <c r="C369">
        <f t="shared" si="10"/>
        <v>9.9459884494227495</v>
      </c>
    </row>
    <row r="370" spans="1:3" x14ac:dyDescent="0.3">
      <c r="A370" s="1">
        <v>42545</v>
      </c>
      <c r="B370">
        <v>20259.130859000001</v>
      </c>
      <c r="C370">
        <f t="shared" si="10"/>
        <v>9.916360877524129</v>
      </c>
    </row>
    <row r="371" spans="1:3" x14ac:dyDescent="0.3">
      <c r="A371" s="1">
        <v>42548</v>
      </c>
      <c r="B371">
        <v>20227.300781000002</v>
      </c>
      <c r="C371">
        <f t="shared" si="10"/>
        <v>9.9147884947149425</v>
      </c>
    </row>
    <row r="372" spans="1:3" x14ac:dyDescent="0.3">
      <c r="A372" s="1">
        <v>42549</v>
      </c>
      <c r="B372">
        <v>20172.460938</v>
      </c>
      <c r="C372">
        <f t="shared" si="10"/>
        <v>9.9120736333222244</v>
      </c>
    </row>
    <row r="373" spans="1:3" x14ac:dyDescent="0.3">
      <c r="A373" s="1">
        <v>42550</v>
      </c>
      <c r="B373">
        <v>20436.119140999999</v>
      </c>
      <c r="C373">
        <f t="shared" si="10"/>
        <v>9.9250591603906333</v>
      </c>
    </row>
    <row r="374" spans="1:3" x14ac:dyDescent="0.3">
      <c r="A374" s="1">
        <v>42551</v>
      </c>
      <c r="B374">
        <v>20794.369140999999</v>
      </c>
      <c r="C374">
        <f t="shared" si="10"/>
        <v>9.9424375146646575</v>
      </c>
    </row>
    <row r="375" spans="1:3" x14ac:dyDescent="0.3">
      <c r="A375" s="1">
        <v>42555</v>
      </c>
      <c r="B375">
        <v>21059.199218999998</v>
      </c>
      <c r="C375">
        <f t="shared" si="10"/>
        <v>9.9550927611758695</v>
      </c>
    </row>
    <row r="376" spans="1:3" x14ac:dyDescent="0.3">
      <c r="A376" s="1">
        <v>42556</v>
      </c>
      <c r="B376">
        <v>20750.720702999999</v>
      </c>
      <c r="C376">
        <f t="shared" si="10"/>
        <v>9.9403362577303778</v>
      </c>
    </row>
    <row r="377" spans="1:3" x14ac:dyDescent="0.3">
      <c r="A377" s="1">
        <v>42557</v>
      </c>
      <c r="B377">
        <v>20495.289063</v>
      </c>
      <c r="C377">
        <f t="shared" si="10"/>
        <v>9.9279503369131401</v>
      </c>
    </row>
    <row r="378" spans="1:3" x14ac:dyDescent="0.3">
      <c r="A378" s="1">
        <v>42558</v>
      </c>
      <c r="B378">
        <v>20706.919922000001</v>
      </c>
      <c r="C378">
        <f t="shared" si="10"/>
        <v>9.9382232191378783</v>
      </c>
    </row>
    <row r="379" spans="1:3" x14ac:dyDescent="0.3">
      <c r="A379" s="1">
        <v>42559</v>
      </c>
      <c r="B379">
        <v>20564.169922000001</v>
      </c>
      <c r="C379">
        <f t="shared" si="10"/>
        <v>9.931305516222368</v>
      </c>
    </row>
    <row r="380" spans="1:3" x14ac:dyDescent="0.3">
      <c r="A380" s="1">
        <v>42562</v>
      </c>
      <c r="B380">
        <v>20880.5</v>
      </c>
      <c r="C380">
        <f t="shared" si="10"/>
        <v>9.9465709880700182</v>
      </c>
    </row>
    <row r="381" spans="1:3" x14ac:dyDescent="0.3">
      <c r="A381" s="1">
        <v>42563</v>
      </c>
      <c r="B381">
        <v>21224.740234000001</v>
      </c>
      <c r="C381">
        <f t="shared" si="10"/>
        <v>9.9629227724238536</v>
      </c>
    </row>
    <row r="382" spans="1:3" x14ac:dyDescent="0.3">
      <c r="A382" s="1">
        <v>42564</v>
      </c>
      <c r="B382">
        <v>21322.369140999999</v>
      </c>
      <c r="C382">
        <f t="shared" si="10"/>
        <v>9.9675119950422957</v>
      </c>
    </row>
    <row r="383" spans="1:3" x14ac:dyDescent="0.3">
      <c r="A383" s="1">
        <v>42565</v>
      </c>
      <c r="B383">
        <v>21561.060547000001</v>
      </c>
      <c r="C383">
        <f t="shared" si="10"/>
        <v>9.9786442143047722</v>
      </c>
    </row>
    <row r="384" spans="1:3" x14ac:dyDescent="0.3">
      <c r="A384" s="1">
        <v>42566</v>
      </c>
      <c r="B384">
        <v>21659.25</v>
      </c>
      <c r="C384">
        <f t="shared" si="10"/>
        <v>9.9831878939167051</v>
      </c>
    </row>
    <row r="385" spans="1:3" x14ac:dyDescent="0.3">
      <c r="A385" s="1">
        <v>42569</v>
      </c>
      <c r="B385">
        <v>21803.179688</v>
      </c>
      <c r="C385">
        <f t="shared" si="10"/>
        <v>9.9898110953887524</v>
      </c>
    </row>
    <row r="386" spans="1:3" x14ac:dyDescent="0.3">
      <c r="A386" s="1">
        <v>42570</v>
      </c>
      <c r="B386">
        <v>21673.199218999998</v>
      </c>
      <c r="C386">
        <f t="shared" si="10"/>
        <v>9.9838317171823299</v>
      </c>
    </row>
    <row r="387" spans="1:3" x14ac:dyDescent="0.3">
      <c r="A387" s="1">
        <v>42571</v>
      </c>
      <c r="B387">
        <v>21882.480468999998</v>
      </c>
      <c r="C387">
        <f t="shared" si="10"/>
        <v>9.9934416170664946</v>
      </c>
    </row>
    <row r="388" spans="1:3" x14ac:dyDescent="0.3">
      <c r="A388" s="1">
        <v>42572</v>
      </c>
      <c r="B388">
        <v>22000.490234000001</v>
      </c>
      <c r="C388">
        <f t="shared" si="10"/>
        <v>9.9988200154558182</v>
      </c>
    </row>
    <row r="389" spans="1:3" x14ac:dyDescent="0.3">
      <c r="A389" s="1">
        <v>42573</v>
      </c>
      <c r="B389">
        <v>21964.269531000002</v>
      </c>
      <c r="C389">
        <f t="shared" si="10"/>
        <v>9.9971722998131796</v>
      </c>
    </row>
    <row r="390" spans="1:3" x14ac:dyDescent="0.3">
      <c r="A390" s="1">
        <v>42576</v>
      </c>
      <c r="B390">
        <v>21993.439452999999</v>
      </c>
      <c r="C390">
        <f t="shared" si="10"/>
        <v>9.9984994811861814</v>
      </c>
    </row>
    <row r="391" spans="1:3" x14ac:dyDescent="0.3">
      <c r="A391" s="1">
        <v>42577</v>
      </c>
      <c r="B391">
        <v>22129.730468999998</v>
      </c>
      <c r="C391">
        <f t="shared" ref="C391:C454" si="11">LN(B391)</f>
        <v>10.00467725353125</v>
      </c>
    </row>
    <row r="392" spans="1:3" x14ac:dyDescent="0.3">
      <c r="A392" s="1">
        <v>42578</v>
      </c>
      <c r="B392">
        <v>22218.990234000001</v>
      </c>
      <c r="C392">
        <f t="shared" si="11"/>
        <v>10.008702618146609</v>
      </c>
    </row>
    <row r="393" spans="1:3" x14ac:dyDescent="0.3">
      <c r="A393" s="1">
        <v>42579</v>
      </c>
      <c r="B393">
        <v>22174.339843999998</v>
      </c>
      <c r="C393">
        <f t="shared" si="11"/>
        <v>10.006691036452787</v>
      </c>
    </row>
    <row r="394" spans="1:3" x14ac:dyDescent="0.3">
      <c r="A394" s="1">
        <v>42580</v>
      </c>
      <c r="B394">
        <v>21891.369140999999</v>
      </c>
      <c r="C394">
        <f t="shared" si="11"/>
        <v>9.9938477349748513</v>
      </c>
    </row>
    <row r="395" spans="1:3" x14ac:dyDescent="0.3">
      <c r="A395" s="1">
        <v>42583</v>
      </c>
      <c r="B395">
        <v>22129.140625</v>
      </c>
      <c r="C395">
        <f t="shared" si="11"/>
        <v>10.004650599258991</v>
      </c>
    </row>
    <row r="396" spans="1:3" x14ac:dyDescent="0.3">
      <c r="A396" s="1">
        <v>42585</v>
      </c>
      <c r="B396">
        <v>21739.119140999999</v>
      </c>
      <c r="C396">
        <f t="shared" si="11"/>
        <v>9.9868686419610437</v>
      </c>
    </row>
    <row r="397" spans="1:3" x14ac:dyDescent="0.3">
      <c r="A397" s="1">
        <v>42586</v>
      </c>
      <c r="B397">
        <v>21832.230468999998</v>
      </c>
      <c r="C397">
        <f t="shared" si="11"/>
        <v>9.991142618809187</v>
      </c>
    </row>
    <row r="398" spans="1:3" x14ac:dyDescent="0.3">
      <c r="A398" s="1">
        <v>42587</v>
      </c>
      <c r="B398">
        <v>22146.089843999998</v>
      </c>
      <c r="C398">
        <f t="shared" si="11"/>
        <v>10.005416229144975</v>
      </c>
    </row>
    <row r="399" spans="1:3" x14ac:dyDescent="0.3">
      <c r="A399" s="1">
        <v>42590</v>
      </c>
      <c r="B399">
        <v>22494.759765999999</v>
      </c>
      <c r="C399">
        <f t="shared" si="11"/>
        <v>10.021037661778372</v>
      </c>
    </row>
    <row r="400" spans="1:3" x14ac:dyDescent="0.3">
      <c r="A400" s="1">
        <v>42591</v>
      </c>
      <c r="B400">
        <v>22465.609375</v>
      </c>
      <c r="C400">
        <f t="shared" si="11"/>
        <v>10.019740946664969</v>
      </c>
    </row>
    <row r="401" spans="1:3" x14ac:dyDescent="0.3">
      <c r="A401" s="1">
        <v>42592</v>
      </c>
      <c r="B401">
        <v>22492.429688</v>
      </c>
      <c r="C401">
        <f t="shared" si="11"/>
        <v>10.020934073266604</v>
      </c>
    </row>
    <row r="402" spans="1:3" x14ac:dyDescent="0.3">
      <c r="A402" s="1">
        <v>42593</v>
      </c>
      <c r="B402">
        <v>22580.550781000002</v>
      </c>
      <c r="C402">
        <f t="shared" si="11"/>
        <v>10.024844229833089</v>
      </c>
    </row>
    <row r="403" spans="1:3" x14ac:dyDescent="0.3">
      <c r="A403" s="1">
        <v>42594</v>
      </c>
      <c r="B403">
        <v>22766.910156000002</v>
      </c>
      <c r="C403">
        <f t="shared" si="11"/>
        <v>10.03306345182626</v>
      </c>
    </row>
    <row r="404" spans="1:3" x14ac:dyDescent="0.3">
      <c r="A404" s="1">
        <v>42597</v>
      </c>
      <c r="B404">
        <v>22932.509765999999</v>
      </c>
      <c r="C404">
        <f t="shared" si="11"/>
        <v>10.040310823242217</v>
      </c>
    </row>
    <row r="405" spans="1:3" x14ac:dyDescent="0.3">
      <c r="A405" s="1">
        <v>42598</v>
      </c>
      <c r="B405">
        <v>22910.839843999998</v>
      </c>
      <c r="C405">
        <f t="shared" si="11"/>
        <v>10.039365433178082</v>
      </c>
    </row>
    <row r="406" spans="1:3" x14ac:dyDescent="0.3">
      <c r="A406" s="1">
        <v>42599</v>
      </c>
      <c r="B406">
        <v>22799.779297000001</v>
      </c>
      <c r="C406">
        <f t="shared" si="11"/>
        <v>10.034506134939541</v>
      </c>
    </row>
    <row r="407" spans="1:3" x14ac:dyDescent="0.3">
      <c r="A407" s="1">
        <v>42600</v>
      </c>
      <c r="B407">
        <v>23023.160156000002</v>
      </c>
      <c r="C407">
        <f t="shared" si="11"/>
        <v>10.044255951568175</v>
      </c>
    </row>
    <row r="408" spans="1:3" x14ac:dyDescent="0.3">
      <c r="A408" s="1">
        <v>42601</v>
      </c>
      <c r="B408">
        <v>22937.220702999999</v>
      </c>
      <c r="C408">
        <f t="shared" si="11"/>
        <v>10.040516228286826</v>
      </c>
    </row>
    <row r="409" spans="1:3" x14ac:dyDescent="0.3">
      <c r="A409" s="1">
        <v>42604</v>
      </c>
      <c r="B409">
        <v>22997.910156000002</v>
      </c>
      <c r="C409">
        <f t="shared" si="11"/>
        <v>10.043158628000405</v>
      </c>
    </row>
    <row r="410" spans="1:3" x14ac:dyDescent="0.3">
      <c r="A410" s="1">
        <v>42605</v>
      </c>
      <c r="B410">
        <v>22998.929688</v>
      </c>
      <c r="C410">
        <f t="shared" si="11"/>
        <v>10.043202958524137</v>
      </c>
    </row>
    <row r="411" spans="1:3" x14ac:dyDescent="0.3">
      <c r="A411" s="1">
        <v>42606</v>
      </c>
      <c r="B411">
        <v>22820.779297000001</v>
      </c>
      <c r="C411">
        <f t="shared" si="11"/>
        <v>10.03542677257005</v>
      </c>
    </row>
    <row r="412" spans="1:3" x14ac:dyDescent="0.3">
      <c r="A412" s="1">
        <v>42607</v>
      </c>
      <c r="B412">
        <v>22814.949218999998</v>
      </c>
      <c r="C412">
        <f t="shared" si="11"/>
        <v>10.035171267586508</v>
      </c>
    </row>
    <row r="413" spans="1:3" x14ac:dyDescent="0.3">
      <c r="A413" s="1">
        <v>42608</v>
      </c>
      <c r="B413">
        <v>22909.539063</v>
      </c>
      <c r="C413">
        <f t="shared" si="11"/>
        <v>10.03930865577766</v>
      </c>
    </row>
    <row r="414" spans="1:3" x14ac:dyDescent="0.3">
      <c r="A414" s="1">
        <v>42611</v>
      </c>
      <c r="B414">
        <v>22821.339843999998</v>
      </c>
      <c r="C414">
        <f t="shared" si="11"/>
        <v>10.035451335277067</v>
      </c>
    </row>
    <row r="415" spans="1:3" x14ac:dyDescent="0.3">
      <c r="A415" s="1">
        <v>42612</v>
      </c>
      <c r="B415">
        <v>23016.109375</v>
      </c>
      <c r="C415">
        <f t="shared" si="11"/>
        <v>10.043949657349046</v>
      </c>
    </row>
    <row r="416" spans="1:3" x14ac:dyDescent="0.3">
      <c r="A416" s="1">
        <v>42613</v>
      </c>
      <c r="B416">
        <v>22976.880859000001</v>
      </c>
      <c r="C416">
        <f t="shared" si="11"/>
        <v>10.042243809335552</v>
      </c>
    </row>
    <row r="417" spans="1:3" x14ac:dyDescent="0.3">
      <c r="A417" s="1">
        <v>42614</v>
      </c>
      <c r="B417">
        <v>23162.339843999998</v>
      </c>
      <c r="C417">
        <f t="shared" si="11"/>
        <v>10.050282956117471</v>
      </c>
    </row>
    <row r="418" spans="1:3" x14ac:dyDescent="0.3">
      <c r="A418" s="1">
        <v>42615</v>
      </c>
      <c r="B418">
        <v>23266.699218999998</v>
      </c>
      <c r="C418">
        <f t="shared" si="11"/>
        <v>10.054778399178797</v>
      </c>
    </row>
    <row r="419" spans="1:3" x14ac:dyDescent="0.3">
      <c r="A419" s="1">
        <v>42618</v>
      </c>
      <c r="B419">
        <v>23649.550781000002</v>
      </c>
      <c r="C419">
        <f t="shared" si="11"/>
        <v>10.071099399278793</v>
      </c>
    </row>
    <row r="420" spans="1:3" x14ac:dyDescent="0.3">
      <c r="A420" s="1">
        <v>42619</v>
      </c>
      <c r="B420">
        <v>23787.679688</v>
      </c>
      <c r="C420">
        <f t="shared" si="11"/>
        <v>10.076923065459217</v>
      </c>
    </row>
    <row r="421" spans="1:3" x14ac:dyDescent="0.3">
      <c r="A421" s="1">
        <v>42620</v>
      </c>
      <c r="B421">
        <v>23741.810547000001</v>
      </c>
      <c r="C421">
        <f t="shared" si="11"/>
        <v>10.074992930925337</v>
      </c>
    </row>
    <row r="422" spans="1:3" x14ac:dyDescent="0.3">
      <c r="A422" s="1">
        <v>42621</v>
      </c>
      <c r="B422">
        <v>23919.339843999998</v>
      </c>
      <c r="C422">
        <f t="shared" si="11"/>
        <v>10.082442609188739</v>
      </c>
    </row>
    <row r="423" spans="1:3" x14ac:dyDescent="0.3">
      <c r="A423" s="1">
        <v>42622</v>
      </c>
      <c r="B423">
        <v>24099.699218999998</v>
      </c>
      <c r="C423">
        <f t="shared" si="11"/>
        <v>10.089954638861444</v>
      </c>
    </row>
    <row r="424" spans="1:3" x14ac:dyDescent="0.3">
      <c r="A424" s="1">
        <v>42625</v>
      </c>
      <c r="B424">
        <v>23290.599609000001</v>
      </c>
      <c r="C424">
        <f t="shared" si="11"/>
        <v>10.055805107888329</v>
      </c>
    </row>
    <row r="425" spans="1:3" x14ac:dyDescent="0.3">
      <c r="A425" s="1">
        <v>42626</v>
      </c>
      <c r="B425">
        <v>23215.759765999999</v>
      </c>
      <c r="C425">
        <f t="shared" si="11"/>
        <v>10.052586627293035</v>
      </c>
    </row>
    <row r="426" spans="1:3" x14ac:dyDescent="0.3">
      <c r="A426" s="1">
        <v>42627</v>
      </c>
      <c r="B426">
        <v>23190.640625</v>
      </c>
      <c r="C426">
        <f t="shared" si="11"/>
        <v>10.051504054921915</v>
      </c>
    </row>
    <row r="427" spans="1:3" x14ac:dyDescent="0.3">
      <c r="A427" s="1">
        <v>42628</v>
      </c>
      <c r="B427">
        <v>23335.589843999998</v>
      </c>
      <c r="C427">
        <f t="shared" si="11"/>
        <v>10.057734935287508</v>
      </c>
    </row>
    <row r="428" spans="1:3" x14ac:dyDescent="0.3">
      <c r="A428" s="1">
        <v>42632</v>
      </c>
      <c r="B428">
        <v>23550.449218999998</v>
      </c>
      <c r="C428">
        <f t="shared" si="11"/>
        <v>10.066900174379409</v>
      </c>
    </row>
    <row r="429" spans="1:3" x14ac:dyDescent="0.3">
      <c r="A429" s="1">
        <v>42633</v>
      </c>
      <c r="B429">
        <v>23530.859375</v>
      </c>
      <c r="C429">
        <f t="shared" si="11"/>
        <v>10.066068003578915</v>
      </c>
    </row>
    <row r="430" spans="1:3" x14ac:dyDescent="0.3">
      <c r="A430" s="1">
        <v>42634</v>
      </c>
      <c r="B430">
        <v>23669.900390999999</v>
      </c>
      <c r="C430">
        <f t="shared" si="11"/>
        <v>10.071959494260899</v>
      </c>
    </row>
    <row r="431" spans="1:3" x14ac:dyDescent="0.3">
      <c r="A431" s="1">
        <v>42635</v>
      </c>
      <c r="B431">
        <v>23759.800781000002</v>
      </c>
      <c r="C431">
        <f t="shared" si="11"/>
        <v>10.075750388803383</v>
      </c>
    </row>
    <row r="432" spans="1:3" x14ac:dyDescent="0.3">
      <c r="A432" s="1">
        <v>42636</v>
      </c>
      <c r="B432">
        <v>23686.480468999998</v>
      </c>
      <c r="C432">
        <f t="shared" si="11"/>
        <v>10.072659720011954</v>
      </c>
    </row>
    <row r="433" spans="1:3" x14ac:dyDescent="0.3">
      <c r="A433" s="1">
        <v>42639</v>
      </c>
      <c r="B433">
        <v>23317.919922000001</v>
      </c>
      <c r="C433">
        <f t="shared" si="11"/>
        <v>10.056977439316313</v>
      </c>
    </row>
    <row r="434" spans="1:3" x14ac:dyDescent="0.3">
      <c r="A434" s="1">
        <v>42640</v>
      </c>
      <c r="B434">
        <v>23571.900390999999</v>
      </c>
      <c r="C434">
        <f t="shared" si="11"/>
        <v>10.067810620214955</v>
      </c>
    </row>
    <row r="435" spans="1:3" x14ac:dyDescent="0.3">
      <c r="A435" s="1">
        <v>42641</v>
      </c>
      <c r="B435">
        <v>23619.650390999999</v>
      </c>
      <c r="C435">
        <f t="shared" si="11"/>
        <v>10.069834288244691</v>
      </c>
    </row>
    <row r="436" spans="1:3" x14ac:dyDescent="0.3">
      <c r="A436" s="1">
        <v>42642</v>
      </c>
      <c r="B436">
        <v>23739.470702999999</v>
      </c>
      <c r="C436">
        <f t="shared" si="11"/>
        <v>10.074894372338024</v>
      </c>
    </row>
    <row r="437" spans="1:3" x14ac:dyDescent="0.3">
      <c r="A437" s="1">
        <v>42643</v>
      </c>
      <c r="B437">
        <v>23297.150390999999</v>
      </c>
      <c r="C437">
        <f t="shared" si="11"/>
        <v>10.056086331258987</v>
      </c>
    </row>
    <row r="438" spans="1:3" x14ac:dyDescent="0.3">
      <c r="A438" s="1">
        <v>42646</v>
      </c>
      <c r="B438">
        <v>23584.429688</v>
      </c>
      <c r="C438">
        <f t="shared" si="11"/>
        <v>10.068342014293918</v>
      </c>
    </row>
    <row r="439" spans="1:3" x14ac:dyDescent="0.3">
      <c r="A439" s="1">
        <v>42647</v>
      </c>
      <c r="B439">
        <v>23689.439452999999</v>
      </c>
      <c r="C439">
        <f t="shared" si="11"/>
        <v>10.072784635116871</v>
      </c>
    </row>
    <row r="440" spans="1:3" x14ac:dyDescent="0.3">
      <c r="A440" s="1">
        <v>42648</v>
      </c>
      <c r="B440">
        <v>23788.310547000001</v>
      </c>
      <c r="C440">
        <f t="shared" si="11"/>
        <v>10.076949585516788</v>
      </c>
    </row>
    <row r="441" spans="1:3" x14ac:dyDescent="0.3">
      <c r="A441" s="1">
        <v>42649</v>
      </c>
      <c r="B441">
        <v>23952.5</v>
      </c>
      <c r="C441">
        <f t="shared" si="11"/>
        <v>10.083827981525028</v>
      </c>
    </row>
    <row r="442" spans="1:3" x14ac:dyDescent="0.3">
      <c r="A442" s="1">
        <v>42650</v>
      </c>
      <c r="B442">
        <v>23851.820313</v>
      </c>
      <c r="C442">
        <f t="shared" si="11"/>
        <v>10.079615816800231</v>
      </c>
    </row>
    <row r="443" spans="1:3" x14ac:dyDescent="0.3">
      <c r="A443" s="1">
        <v>42654</v>
      </c>
      <c r="B443">
        <v>23549.519531000002</v>
      </c>
      <c r="C443">
        <f t="shared" si="11"/>
        <v>10.066860697155759</v>
      </c>
    </row>
    <row r="444" spans="1:3" x14ac:dyDescent="0.3">
      <c r="A444" s="1">
        <v>42655</v>
      </c>
      <c r="B444">
        <v>23407.050781000002</v>
      </c>
      <c r="C444">
        <f t="shared" si="11"/>
        <v>10.060792571386767</v>
      </c>
    </row>
    <row r="445" spans="1:3" x14ac:dyDescent="0.3">
      <c r="A445" s="1">
        <v>42656</v>
      </c>
      <c r="B445">
        <v>23031.300781000002</v>
      </c>
      <c r="C445">
        <f t="shared" si="11"/>
        <v>10.044609473243129</v>
      </c>
    </row>
    <row r="446" spans="1:3" x14ac:dyDescent="0.3">
      <c r="A446" s="1">
        <v>42657</v>
      </c>
      <c r="B446">
        <v>23233.310547000001</v>
      </c>
      <c r="C446">
        <f t="shared" si="11"/>
        <v>10.053342327319623</v>
      </c>
    </row>
    <row r="447" spans="1:3" x14ac:dyDescent="0.3">
      <c r="A447" s="1">
        <v>42660</v>
      </c>
      <c r="B447">
        <v>23037.539063</v>
      </c>
      <c r="C447">
        <f t="shared" si="11"/>
        <v>10.044880297603337</v>
      </c>
    </row>
    <row r="448" spans="1:3" x14ac:dyDescent="0.3">
      <c r="A448" s="1">
        <v>42661</v>
      </c>
      <c r="B448">
        <v>23394.390625</v>
      </c>
      <c r="C448">
        <f t="shared" si="11"/>
        <v>10.060251555728767</v>
      </c>
    </row>
    <row r="449" spans="1:3" x14ac:dyDescent="0.3">
      <c r="A449" s="1">
        <v>42662</v>
      </c>
      <c r="B449">
        <v>23304.970702999999</v>
      </c>
      <c r="C449">
        <f t="shared" si="11"/>
        <v>10.056421951693844</v>
      </c>
    </row>
    <row r="450" spans="1:3" x14ac:dyDescent="0.3">
      <c r="A450" s="1">
        <v>42663</v>
      </c>
      <c r="B450">
        <v>23374.400390999999</v>
      </c>
      <c r="C450">
        <f t="shared" si="11"/>
        <v>10.059396702105952</v>
      </c>
    </row>
    <row r="451" spans="1:3" x14ac:dyDescent="0.3">
      <c r="A451" s="1">
        <v>42667</v>
      </c>
      <c r="B451">
        <v>23604.080077999999</v>
      </c>
      <c r="C451">
        <f t="shared" si="11"/>
        <v>10.069174860731888</v>
      </c>
    </row>
    <row r="452" spans="1:3" x14ac:dyDescent="0.3">
      <c r="A452" s="1">
        <v>42668</v>
      </c>
      <c r="B452">
        <v>23565.109375</v>
      </c>
      <c r="C452">
        <f t="shared" si="11"/>
        <v>10.067522480764415</v>
      </c>
    </row>
    <row r="453" spans="1:3" x14ac:dyDescent="0.3">
      <c r="A453" s="1">
        <v>42669</v>
      </c>
      <c r="B453">
        <v>23325.429688</v>
      </c>
      <c r="C453">
        <f t="shared" si="11"/>
        <v>10.057299447325073</v>
      </c>
    </row>
    <row r="454" spans="1:3" x14ac:dyDescent="0.3">
      <c r="A454" s="1">
        <v>42670</v>
      </c>
      <c r="B454">
        <v>23132.349609000001</v>
      </c>
      <c r="C454">
        <f t="shared" si="11"/>
        <v>10.048987332815983</v>
      </c>
    </row>
    <row r="455" spans="1:3" x14ac:dyDescent="0.3">
      <c r="A455" s="1">
        <v>42671</v>
      </c>
      <c r="B455">
        <v>22954.810547000001</v>
      </c>
      <c r="C455">
        <f t="shared" ref="C455:C518" si="12">LN(B455)</f>
        <v>10.041282803414674</v>
      </c>
    </row>
    <row r="456" spans="1:3" x14ac:dyDescent="0.3">
      <c r="A456" s="1">
        <v>42674</v>
      </c>
      <c r="B456">
        <v>22934.539063</v>
      </c>
      <c r="C456">
        <f t="shared" si="12"/>
        <v>10.040399309292798</v>
      </c>
    </row>
    <row r="457" spans="1:3" x14ac:dyDescent="0.3">
      <c r="A457" s="1">
        <v>42675</v>
      </c>
      <c r="B457">
        <v>23147.070313</v>
      </c>
      <c r="C457">
        <f t="shared" si="12"/>
        <v>10.049623499151744</v>
      </c>
    </row>
    <row r="458" spans="1:3" x14ac:dyDescent="0.3">
      <c r="A458" s="1">
        <v>42676</v>
      </c>
      <c r="B458">
        <v>22810.5</v>
      </c>
      <c r="C458">
        <f t="shared" si="12"/>
        <v>10.034976235248623</v>
      </c>
    </row>
    <row r="459" spans="1:3" x14ac:dyDescent="0.3">
      <c r="A459" s="1">
        <v>42677</v>
      </c>
      <c r="B459">
        <v>22683.509765999999</v>
      </c>
      <c r="C459">
        <f t="shared" si="12"/>
        <v>10.029393497456198</v>
      </c>
    </row>
    <row r="460" spans="1:3" x14ac:dyDescent="0.3">
      <c r="A460" s="1">
        <v>42678</v>
      </c>
      <c r="B460">
        <v>22642.619140999999</v>
      </c>
      <c r="C460">
        <f t="shared" si="12"/>
        <v>10.027589212065889</v>
      </c>
    </row>
    <row r="461" spans="1:3" x14ac:dyDescent="0.3">
      <c r="A461" s="1">
        <v>42681</v>
      </c>
      <c r="B461">
        <v>22801.400390999999</v>
      </c>
      <c r="C461">
        <f t="shared" si="12"/>
        <v>10.034577233714256</v>
      </c>
    </row>
    <row r="462" spans="1:3" x14ac:dyDescent="0.3">
      <c r="A462" s="1">
        <v>42682</v>
      </c>
      <c r="B462">
        <v>22909.470702999999</v>
      </c>
      <c r="C462">
        <f t="shared" si="12"/>
        <v>10.039305671863326</v>
      </c>
    </row>
    <row r="463" spans="1:3" x14ac:dyDescent="0.3">
      <c r="A463" s="1">
        <v>42683</v>
      </c>
      <c r="B463">
        <v>22415.189452999999</v>
      </c>
      <c r="C463">
        <f t="shared" si="12"/>
        <v>10.017494108617171</v>
      </c>
    </row>
    <row r="464" spans="1:3" x14ac:dyDescent="0.3">
      <c r="A464" s="1">
        <v>42684</v>
      </c>
      <c r="B464">
        <v>22839.109375</v>
      </c>
      <c r="C464">
        <f t="shared" si="12"/>
        <v>10.03622966892034</v>
      </c>
    </row>
    <row r="465" spans="1:3" x14ac:dyDescent="0.3">
      <c r="A465" s="1">
        <v>42685</v>
      </c>
      <c r="B465">
        <v>22531.089843999998</v>
      </c>
      <c r="C465">
        <f t="shared" si="12"/>
        <v>10.022651405270112</v>
      </c>
    </row>
    <row r="466" spans="1:3" x14ac:dyDescent="0.3">
      <c r="A466" s="1">
        <v>42688</v>
      </c>
      <c r="B466">
        <v>22222.220702999999</v>
      </c>
      <c r="C466">
        <f t="shared" si="12"/>
        <v>10.008847999828951</v>
      </c>
    </row>
    <row r="467" spans="1:3" x14ac:dyDescent="0.3">
      <c r="A467" s="1">
        <v>42689</v>
      </c>
      <c r="B467">
        <v>22323.910156000002</v>
      </c>
      <c r="C467">
        <f t="shared" si="12"/>
        <v>10.013413587352654</v>
      </c>
    </row>
    <row r="468" spans="1:3" x14ac:dyDescent="0.3">
      <c r="A468" s="1">
        <v>42690</v>
      </c>
      <c r="B468">
        <v>22280.529297000001</v>
      </c>
      <c r="C468">
        <f t="shared" si="12"/>
        <v>10.011468450356883</v>
      </c>
    </row>
    <row r="469" spans="1:3" x14ac:dyDescent="0.3">
      <c r="A469" s="1">
        <v>42691</v>
      </c>
      <c r="B469">
        <v>22262.880859000001</v>
      </c>
      <c r="C469">
        <f t="shared" si="12"/>
        <v>10.010676035098973</v>
      </c>
    </row>
    <row r="470" spans="1:3" x14ac:dyDescent="0.3">
      <c r="A470" s="1">
        <v>42692</v>
      </c>
      <c r="B470">
        <v>22344.210938</v>
      </c>
      <c r="C470">
        <f t="shared" si="12"/>
        <v>10.014322548056642</v>
      </c>
    </row>
    <row r="471" spans="1:3" x14ac:dyDescent="0.3">
      <c r="A471" s="1">
        <v>42695</v>
      </c>
      <c r="B471">
        <v>22357.779297000001</v>
      </c>
      <c r="C471">
        <f t="shared" si="12"/>
        <v>10.014929606460322</v>
      </c>
    </row>
    <row r="472" spans="1:3" x14ac:dyDescent="0.3">
      <c r="A472" s="1">
        <v>42696</v>
      </c>
      <c r="B472">
        <v>22678.070313</v>
      </c>
      <c r="C472">
        <f t="shared" si="12"/>
        <v>10.029153671020849</v>
      </c>
    </row>
    <row r="473" spans="1:3" x14ac:dyDescent="0.3">
      <c r="A473" s="1">
        <v>42697</v>
      </c>
      <c r="B473">
        <v>22676.689452999999</v>
      </c>
      <c r="C473">
        <f t="shared" si="12"/>
        <v>10.029092779506593</v>
      </c>
    </row>
    <row r="474" spans="1:3" x14ac:dyDescent="0.3">
      <c r="A474" s="1">
        <v>42698</v>
      </c>
      <c r="B474">
        <v>22608.490234000001</v>
      </c>
      <c r="C474">
        <f t="shared" si="12"/>
        <v>10.026080788783338</v>
      </c>
    </row>
    <row r="475" spans="1:3" x14ac:dyDescent="0.3">
      <c r="A475" s="1">
        <v>42699</v>
      </c>
      <c r="B475">
        <v>22723.449218999998</v>
      </c>
      <c r="C475">
        <f t="shared" si="12"/>
        <v>10.031152675529025</v>
      </c>
    </row>
    <row r="476" spans="1:3" x14ac:dyDescent="0.3">
      <c r="A476" s="1">
        <v>42702</v>
      </c>
      <c r="B476">
        <v>22830.570313</v>
      </c>
      <c r="C476">
        <f t="shared" si="12"/>
        <v>10.035855720070344</v>
      </c>
    </row>
    <row r="477" spans="1:3" x14ac:dyDescent="0.3">
      <c r="A477" s="1">
        <v>42703</v>
      </c>
      <c r="B477">
        <v>22737.070313</v>
      </c>
      <c r="C477">
        <f t="shared" si="12"/>
        <v>10.031751924923789</v>
      </c>
    </row>
    <row r="478" spans="1:3" x14ac:dyDescent="0.3">
      <c r="A478" s="1">
        <v>42704</v>
      </c>
      <c r="B478">
        <v>22789.769531000002</v>
      </c>
      <c r="C478">
        <f t="shared" si="12"/>
        <v>10.034067009463717</v>
      </c>
    </row>
    <row r="479" spans="1:3" x14ac:dyDescent="0.3">
      <c r="A479" s="1">
        <v>42705</v>
      </c>
      <c r="B479">
        <v>22878.230468999998</v>
      </c>
      <c r="C479">
        <f t="shared" si="12"/>
        <v>10.037941102861261</v>
      </c>
    </row>
    <row r="480" spans="1:3" x14ac:dyDescent="0.3">
      <c r="A480" s="1">
        <v>42706</v>
      </c>
      <c r="B480">
        <v>22564.820313</v>
      </c>
      <c r="C480">
        <f t="shared" si="12"/>
        <v>10.024147349144974</v>
      </c>
    </row>
    <row r="481" spans="1:3" x14ac:dyDescent="0.3">
      <c r="A481" s="1">
        <v>42709</v>
      </c>
      <c r="B481">
        <v>22505.550781000002</v>
      </c>
      <c r="C481">
        <f t="shared" si="12"/>
        <v>10.021517259144508</v>
      </c>
    </row>
    <row r="482" spans="1:3" x14ac:dyDescent="0.3">
      <c r="A482" s="1">
        <v>42710</v>
      </c>
      <c r="B482">
        <v>22675.150390999999</v>
      </c>
      <c r="C482">
        <f t="shared" si="12"/>
        <v>10.029024907419998</v>
      </c>
    </row>
    <row r="483" spans="1:3" x14ac:dyDescent="0.3">
      <c r="A483" s="1">
        <v>42711</v>
      </c>
      <c r="B483">
        <v>22800.919922000001</v>
      </c>
      <c r="C483">
        <f t="shared" si="12"/>
        <v>10.034556161584735</v>
      </c>
    </row>
    <row r="484" spans="1:3" x14ac:dyDescent="0.3">
      <c r="A484" s="1">
        <v>42712</v>
      </c>
      <c r="B484">
        <v>22861.839843999998</v>
      </c>
      <c r="C484">
        <f t="shared" si="12"/>
        <v>10.03722441722482</v>
      </c>
    </row>
    <row r="485" spans="1:3" x14ac:dyDescent="0.3">
      <c r="A485" s="1">
        <v>42713</v>
      </c>
      <c r="B485">
        <v>22760.980468999998</v>
      </c>
      <c r="C485">
        <f t="shared" si="12"/>
        <v>10.032802965915224</v>
      </c>
    </row>
    <row r="486" spans="1:3" x14ac:dyDescent="0.3">
      <c r="A486" s="1">
        <v>42716</v>
      </c>
      <c r="B486">
        <v>22433.019531000002</v>
      </c>
      <c r="C486">
        <f t="shared" si="12"/>
        <v>10.018289238649935</v>
      </c>
    </row>
    <row r="487" spans="1:3" x14ac:dyDescent="0.3">
      <c r="A487" s="1">
        <v>42717</v>
      </c>
      <c r="B487">
        <v>22446.699218999998</v>
      </c>
      <c r="C487">
        <f t="shared" si="12"/>
        <v>10.018898854253804</v>
      </c>
    </row>
    <row r="488" spans="1:3" x14ac:dyDescent="0.3">
      <c r="A488" s="1">
        <v>42718</v>
      </c>
      <c r="B488">
        <v>22456.619140999999</v>
      </c>
      <c r="C488">
        <f t="shared" si="12"/>
        <v>10.019340688956614</v>
      </c>
    </row>
    <row r="489" spans="1:3" x14ac:dyDescent="0.3">
      <c r="A489" s="1">
        <v>42719</v>
      </c>
      <c r="B489">
        <v>22059.400390999999</v>
      </c>
      <c r="C489">
        <f t="shared" si="12"/>
        <v>10.001494111613065</v>
      </c>
    </row>
    <row r="490" spans="1:3" x14ac:dyDescent="0.3">
      <c r="A490" s="1">
        <v>42720</v>
      </c>
      <c r="B490">
        <v>22020.75</v>
      </c>
      <c r="C490">
        <f t="shared" si="12"/>
        <v>9.9997404696421484</v>
      </c>
    </row>
    <row r="491" spans="1:3" x14ac:dyDescent="0.3">
      <c r="A491" s="1">
        <v>42723</v>
      </c>
      <c r="B491">
        <v>21832.679688</v>
      </c>
      <c r="C491">
        <f t="shared" si="12"/>
        <v>9.991163194552886</v>
      </c>
    </row>
    <row r="492" spans="1:3" x14ac:dyDescent="0.3">
      <c r="A492" s="1">
        <v>42724</v>
      </c>
      <c r="B492">
        <v>21729.060547000001</v>
      </c>
      <c r="C492">
        <f t="shared" si="12"/>
        <v>9.9864058393200441</v>
      </c>
    </row>
    <row r="493" spans="1:3" x14ac:dyDescent="0.3">
      <c r="A493" s="1">
        <v>42725</v>
      </c>
      <c r="B493">
        <v>21809.800781000002</v>
      </c>
      <c r="C493">
        <f t="shared" si="12"/>
        <v>9.9901147248577633</v>
      </c>
    </row>
    <row r="494" spans="1:3" x14ac:dyDescent="0.3">
      <c r="A494" s="1">
        <v>42726</v>
      </c>
      <c r="B494">
        <v>21636.199218999998</v>
      </c>
      <c r="C494">
        <f t="shared" si="12"/>
        <v>9.9821230807045183</v>
      </c>
    </row>
    <row r="495" spans="1:3" x14ac:dyDescent="0.3">
      <c r="A495" s="1">
        <v>42727</v>
      </c>
      <c r="B495">
        <v>21574.759765999999</v>
      </c>
      <c r="C495">
        <f t="shared" si="12"/>
        <v>9.9792793810576548</v>
      </c>
    </row>
    <row r="496" spans="1:3" x14ac:dyDescent="0.3">
      <c r="A496" s="1">
        <v>42732</v>
      </c>
      <c r="B496">
        <v>21754.740234000001</v>
      </c>
      <c r="C496">
        <f t="shared" si="12"/>
        <v>9.9875869545640708</v>
      </c>
    </row>
    <row r="497" spans="1:3" x14ac:dyDescent="0.3">
      <c r="A497" s="1">
        <v>42733</v>
      </c>
      <c r="B497">
        <v>21790.910156000002</v>
      </c>
      <c r="C497">
        <f t="shared" si="12"/>
        <v>9.9892481965018671</v>
      </c>
    </row>
    <row r="498" spans="1:3" x14ac:dyDescent="0.3">
      <c r="A498" s="1">
        <v>42734</v>
      </c>
      <c r="B498">
        <v>22000.560547000001</v>
      </c>
      <c r="C498">
        <f t="shared" si="12"/>
        <v>9.9988232114249485</v>
      </c>
    </row>
    <row r="499" spans="1:3" x14ac:dyDescent="0.3">
      <c r="A499" s="1">
        <v>42738</v>
      </c>
      <c r="B499">
        <v>22150.400390999999</v>
      </c>
      <c r="C499">
        <f t="shared" si="12"/>
        <v>10.005610851653021</v>
      </c>
    </row>
    <row r="500" spans="1:3" x14ac:dyDescent="0.3">
      <c r="A500" s="1">
        <v>42739</v>
      </c>
      <c r="B500">
        <v>22134.470702999999</v>
      </c>
      <c r="C500">
        <f t="shared" si="12"/>
        <v>10.004891432659875</v>
      </c>
    </row>
    <row r="501" spans="1:3" x14ac:dyDescent="0.3">
      <c r="A501" s="1">
        <v>42740</v>
      </c>
      <c r="B501">
        <v>22456.689452999999</v>
      </c>
      <c r="C501">
        <f t="shared" si="12"/>
        <v>10.019343819966206</v>
      </c>
    </row>
    <row r="502" spans="1:3" x14ac:dyDescent="0.3">
      <c r="A502" s="1">
        <v>42741</v>
      </c>
      <c r="B502">
        <v>22503.009765999999</v>
      </c>
      <c r="C502">
        <f t="shared" si="12"/>
        <v>10.021404346624232</v>
      </c>
    </row>
    <row r="503" spans="1:3" x14ac:dyDescent="0.3">
      <c r="A503" s="1">
        <v>42744</v>
      </c>
      <c r="B503">
        <v>22558.689452999999</v>
      </c>
      <c r="C503">
        <f t="shared" si="12"/>
        <v>10.023875612302271</v>
      </c>
    </row>
    <row r="504" spans="1:3" x14ac:dyDescent="0.3">
      <c r="A504" s="1">
        <v>42745</v>
      </c>
      <c r="B504">
        <v>22744.849609000001</v>
      </c>
      <c r="C504">
        <f t="shared" si="12"/>
        <v>10.03209400793564</v>
      </c>
    </row>
    <row r="505" spans="1:3" x14ac:dyDescent="0.3">
      <c r="A505" s="1">
        <v>42746</v>
      </c>
      <c r="B505">
        <v>22935.349609000001</v>
      </c>
      <c r="C505">
        <f t="shared" si="12"/>
        <v>10.04043465038577</v>
      </c>
    </row>
    <row r="506" spans="1:3" x14ac:dyDescent="0.3">
      <c r="A506" s="1">
        <v>42747</v>
      </c>
      <c r="B506">
        <v>22829.019531000002</v>
      </c>
      <c r="C506">
        <f t="shared" si="12"/>
        <v>10.035787792083873</v>
      </c>
    </row>
    <row r="507" spans="1:3" x14ac:dyDescent="0.3">
      <c r="A507" s="1">
        <v>42748</v>
      </c>
      <c r="B507">
        <v>22937.380859000001</v>
      </c>
      <c r="C507">
        <f t="shared" si="12"/>
        <v>10.040523210625398</v>
      </c>
    </row>
    <row r="508" spans="1:3" x14ac:dyDescent="0.3">
      <c r="A508" s="1">
        <v>42751</v>
      </c>
      <c r="B508">
        <v>22718.150390999999</v>
      </c>
      <c r="C508">
        <f t="shared" si="12"/>
        <v>10.030919460674376</v>
      </c>
    </row>
    <row r="509" spans="1:3" x14ac:dyDescent="0.3">
      <c r="A509" s="1">
        <v>42752</v>
      </c>
      <c r="B509">
        <v>22840.970702999999</v>
      </c>
      <c r="C509">
        <f t="shared" si="12"/>
        <v>10.03631116299819</v>
      </c>
    </row>
    <row r="510" spans="1:3" x14ac:dyDescent="0.3">
      <c r="A510" s="1">
        <v>42753</v>
      </c>
      <c r="B510">
        <v>23098.259765999999</v>
      </c>
      <c r="C510">
        <f t="shared" si="12"/>
        <v>10.047512558866881</v>
      </c>
    </row>
    <row r="511" spans="1:3" x14ac:dyDescent="0.3">
      <c r="A511" s="1">
        <v>42754</v>
      </c>
      <c r="B511">
        <v>23049.960938</v>
      </c>
      <c r="C511">
        <f t="shared" si="12"/>
        <v>10.045419353759584</v>
      </c>
    </row>
    <row r="512" spans="1:3" x14ac:dyDescent="0.3">
      <c r="A512" s="1">
        <v>42755</v>
      </c>
      <c r="B512">
        <v>22885.910156000002</v>
      </c>
      <c r="C512">
        <f t="shared" si="12"/>
        <v>10.038276723151174</v>
      </c>
    </row>
    <row r="513" spans="1:3" x14ac:dyDescent="0.3">
      <c r="A513" s="1">
        <v>42758</v>
      </c>
      <c r="B513">
        <v>22898.519531000002</v>
      </c>
      <c r="C513">
        <f t="shared" si="12"/>
        <v>10.038827538151164</v>
      </c>
    </row>
    <row r="514" spans="1:3" x14ac:dyDescent="0.3">
      <c r="A514" s="1">
        <v>42759</v>
      </c>
      <c r="B514">
        <v>22949.859375</v>
      </c>
      <c r="C514">
        <f t="shared" si="12"/>
        <v>10.041067088018938</v>
      </c>
    </row>
    <row r="515" spans="1:3" x14ac:dyDescent="0.3">
      <c r="A515" s="1">
        <v>42760</v>
      </c>
      <c r="B515">
        <v>23049.119140999999</v>
      </c>
      <c r="C515">
        <f t="shared" si="12"/>
        <v>10.04538283255358</v>
      </c>
    </row>
    <row r="516" spans="1:3" x14ac:dyDescent="0.3">
      <c r="A516" s="1">
        <v>42761</v>
      </c>
      <c r="B516">
        <v>23374.169922000001</v>
      </c>
      <c r="C516">
        <f t="shared" si="12"/>
        <v>10.059386842168056</v>
      </c>
    </row>
    <row r="517" spans="1:3" x14ac:dyDescent="0.3">
      <c r="A517" s="1">
        <v>42762</v>
      </c>
      <c r="B517">
        <v>23360.779297000001</v>
      </c>
      <c r="C517">
        <f t="shared" si="12"/>
        <v>10.058813796702502</v>
      </c>
    </row>
    <row r="518" spans="1:3" x14ac:dyDescent="0.3">
      <c r="A518" s="1">
        <v>42767</v>
      </c>
      <c r="B518">
        <v>23318.390625</v>
      </c>
      <c r="C518">
        <f t="shared" si="12"/>
        <v>10.05699762543286</v>
      </c>
    </row>
    <row r="519" spans="1:3" x14ac:dyDescent="0.3">
      <c r="A519" s="1">
        <v>42768</v>
      </c>
      <c r="B519">
        <v>23184.519531000002</v>
      </c>
      <c r="C519">
        <f t="shared" ref="C519:C582" si="13">LN(B519)</f>
        <v>10.051240073341477</v>
      </c>
    </row>
    <row r="520" spans="1:3" x14ac:dyDescent="0.3">
      <c r="A520" s="1">
        <v>42769</v>
      </c>
      <c r="B520">
        <v>23129.210938</v>
      </c>
      <c r="C520">
        <f t="shared" si="13"/>
        <v>10.048851640419629</v>
      </c>
    </row>
    <row r="521" spans="1:3" x14ac:dyDescent="0.3">
      <c r="A521" s="1">
        <v>42772</v>
      </c>
      <c r="B521">
        <v>23348.240234000001</v>
      </c>
      <c r="C521">
        <f t="shared" si="13"/>
        <v>10.05827689554606</v>
      </c>
    </row>
    <row r="522" spans="1:3" x14ac:dyDescent="0.3">
      <c r="A522" s="1">
        <v>42773</v>
      </c>
      <c r="B522">
        <v>23331.570313</v>
      </c>
      <c r="C522">
        <f t="shared" si="13"/>
        <v>10.05756267149445</v>
      </c>
    </row>
    <row r="523" spans="1:3" x14ac:dyDescent="0.3">
      <c r="A523" s="1">
        <v>42774</v>
      </c>
      <c r="B523">
        <v>23485.130859000001</v>
      </c>
      <c r="C523">
        <f t="shared" si="13"/>
        <v>10.064122770470268</v>
      </c>
    </row>
    <row r="524" spans="1:3" x14ac:dyDescent="0.3">
      <c r="A524" s="1">
        <v>42775</v>
      </c>
      <c r="B524">
        <v>23525.140625</v>
      </c>
      <c r="C524">
        <f t="shared" si="13"/>
        <v>10.065824942119029</v>
      </c>
    </row>
    <row r="525" spans="1:3" x14ac:dyDescent="0.3">
      <c r="A525" s="1">
        <v>42776</v>
      </c>
      <c r="B525">
        <v>23574.980468999998</v>
      </c>
      <c r="C525">
        <f t="shared" si="13"/>
        <v>10.06794127903896</v>
      </c>
    </row>
    <row r="526" spans="1:3" x14ac:dyDescent="0.3">
      <c r="A526" s="1">
        <v>42779</v>
      </c>
      <c r="B526">
        <v>23710.980468999998</v>
      </c>
      <c r="C526">
        <f t="shared" si="13"/>
        <v>10.073693530756124</v>
      </c>
    </row>
    <row r="527" spans="1:3" x14ac:dyDescent="0.3">
      <c r="A527" s="1">
        <v>42780</v>
      </c>
      <c r="B527">
        <v>23703.009765999999</v>
      </c>
      <c r="C527">
        <f t="shared" si="13"/>
        <v>10.073357313406115</v>
      </c>
    </row>
    <row r="528" spans="1:3" x14ac:dyDescent="0.3">
      <c r="A528" s="1">
        <v>42781</v>
      </c>
      <c r="B528">
        <v>23994.869140999999</v>
      </c>
      <c r="C528">
        <f t="shared" si="13"/>
        <v>10.085595300682977</v>
      </c>
    </row>
    <row r="529" spans="1:3" x14ac:dyDescent="0.3">
      <c r="A529" s="1">
        <v>42782</v>
      </c>
      <c r="B529">
        <v>24107.699218999998</v>
      </c>
      <c r="C529">
        <f t="shared" si="13"/>
        <v>10.090286538127227</v>
      </c>
    </row>
    <row r="530" spans="1:3" x14ac:dyDescent="0.3">
      <c r="A530" s="1">
        <v>42783</v>
      </c>
      <c r="B530">
        <v>24033.740234000001</v>
      </c>
      <c r="C530">
        <f t="shared" si="13"/>
        <v>10.08721396514122</v>
      </c>
    </row>
    <row r="531" spans="1:3" x14ac:dyDescent="0.3">
      <c r="A531" s="1">
        <v>42786</v>
      </c>
      <c r="B531">
        <v>24146.080077999999</v>
      </c>
      <c r="C531">
        <f t="shared" si="13"/>
        <v>10.091877330295349</v>
      </c>
    </row>
    <row r="532" spans="1:3" x14ac:dyDescent="0.3">
      <c r="A532" s="1">
        <v>42787</v>
      </c>
      <c r="B532">
        <v>23963.630859000001</v>
      </c>
      <c r="C532">
        <f t="shared" si="13"/>
        <v>10.084292579104202</v>
      </c>
    </row>
    <row r="533" spans="1:3" x14ac:dyDescent="0.3">
      <c r="A533" s="1">
        <v>42788</v>
      </c>
      <c r="B533">
        <v>24201.960938</v>
      </c>
      <c r="C533">
        <f t="shared" si="13"/>
        <v>10.094188939357853</v>
      </c>
    </row>
    <row r="534" spans="1:3" x14ac:dyDescent="0.3">
      <c r="A534" s="1">
        <v>42789</v>
      </c>
      <c r="B534">
        <v>24114.859375</v>
      </c>
      <c r="C534">
        <f t="shared" si="13"/>
        <v>10.09058350105335</v>
      </c>
    </row>
    <row r="535" spans="1:3" x14ac:dyDescent="0.3">
      <c r="A535" s="1">
        <v>42790</v>
      </c>
      <c r="B535">
        <v>23965.699218999998</v>
      </c>
      <c r="C535">
        <f t="shared" si="13"/>
        <v>10.084378887842417</v>
      </c>
    </row>
    <row r="536" spans="1:3" x14ac:dyDescent="0.3">
      <c r="A536" s="1">
        <v>42793</v>
      </c>
      <c r="B536">
        <v>23925.050781000002</v>
      </c>
      <c r="C536">
        <f t="shared" si="13"/>
        <v>10.08268133882674</v>
      </c>
    </row>
    <row r="537" spans="1:3" x14ac:dyDescent="0.3">
      <c r="A537" s="1">
        <v>42794</v>
      </c>
      <c r="B537">
        <v>23740.730468999998</v>
      </c>
      <c r="C537">
        <f t="shared" si="13"/>
        <v>10.074947437235357</v>
      </c>
    </row>
    <row r="538" spans="1:3" x14ac:dyDescent="0.3">
      <c r="A538" s="1">
        <v>42795</v>
      </c>
      <c r="B538">
        <v>23776.490234000001</v>
      </c>
      <c r="C538">
        <f t="shared" si="13"/>
        <v>10.076452566164274</v>
      </c>
    </row>
    <row r="539" spans="1:3" x14ac:dyDescent="0.3">
      <c r="A539" s="1">
        <v>42796</v>
      </c>
      <c r="B539">
        <v>23728.070313</v>
      </c>
      <c r="C539">
        <f t="shared" si="13"/>
        <v>10.074414027665636</v>
      </c>
    </row>
    <row r="540" spans="1:3" x14ac:dyDescent="0.3">
      <c r="A540" s="1">
        <v>42797</v>
      </c>
      <c r="B540">
        <v>23552.720702999999</v>
      </c>
      <c r="C540">
        <f t="shared" si="13"/>
        <v>10.066996621561437</v>
      </c>
    </row>
    <row r="541" spans="1:3" x14ac:dyDescent="0.3">
      <c r="A541" s="1">
        <v>42800</v>
      </c>
      <c r="B541">
        <v>23596.279297000001</v>
      </c>
      <c r="C541">
        <f t="shared" si="13"/>
        <v>10.068844321677766</v>
      </c>
    </row>
    <row r="542" spans="1:3" x14ac:dyDescent="0.3">
      <c r="A542" s="1">
        <v>42801</v>
      </c>
      <c r="B542">
        <v>23681.070313</v>
      </c>
      <c r="C542">
        <f t="shared" si="13"/>
        <v>10.072431287005212</v>
      </c>
    </row>
    <row r="543" spans="1:3" x14ac:dyDescent="0.3">
      <c r="A543" s="1">
        <v>42802</v>
      </c>
      <c r="B543">
        <v>23782.269531000002</v>
      </c>
      <c r="C543">
        <f t="shared" si="13"/>
        <v>10.076695604336717</v>
      </c>
    </row>
    <row r="544" spans="1:3" x14ac:dyDescent="0.3">
      <c r="A544" s="1">
        <v>42803</v>
      </c>
      <c r="B544">
        <v>23501.560547000001</v>
      </c>
      <c r="C544">
        <f t="shared" si="13"/>
        <v>10.064822104182772</v>
      </c>
    </row>
    <row r="545" spans="1:3" x14ac:dyDescent="0.3">
      <c r="A545" s="1">
        <v>42804</v>
      </c>
      <c r="B545">
        <v>23568.669922000001</v>
      </c>
      <c r="C545">
        <f t="shared" si="13"/>
        <v>10.067673563366316</v>
      </c>
    </row>
    <row r="546" spans="1:3" x14ac:dyDescent="0.3">
      <c r="A546" s="1">
        <v>42807</v>
      </c>
      <c r="B546">
        <v>23829.669922000001</v>
      </c>
      <c r="C546">
        <f t="shared" si="13"/>
        <v>10.07868671863303</v>
      </c>
    </row>
    <row r="547" spans="1:3" x14ac:dyDescent="0.3">
      <c r="A547" s="1">
        <v>42808</v>
      </c>
      <c r="B547">
        <v>23827.949218999998</v>
      </c>
      <c r="C547">
        <f t="shared" si="13"/>
        <v>10.078614507598077</v>
      </c>
    </row>
    <row r="548" spans="1:3" x14ac:dyDescent="0.3">
      <c r="A548" s="1">
        <v>42809</v>
      </c>
      <c r="B548">
        <v>23792.849609000001</v>
      </c>
      <c r="C548">
        <f t="shared" si="13"/>
        <v>10.077140377922811</v>
      </c>
    </row>
    <row r="549" spans="1:3" x14ac:dyDescent="0.3">
      <c r="A549" s="1">
        <v>42810</v>
      </c>
      <c r="B549">
        <v>24288.279297000001</v>
      </c>
      <c r="C549">
        <f t="shared" si="13"/>
        <v>10.09774917951165</v>
      </c>
    </row>
    <row r="550" spans="1:3" x14ac:dyDescent="0.3">
      <c r="A550" s="1">
        <v>42811</v>
      </c>
      <c r="B550">
        <v>24309.929688</v>
      </c>
      <c r="C550">
        <f t="shared" si="13"/>
        <v>10.098640174998295</v>
      </c>
    </row>
    <row r="551" spans="1:3" x14ac:dyDescent="0.3">
      <c r="A551" s="1">
        <v>42814</v>
      </c>
      <c r="B551">
        <v>24501.990234000001</v>
      </c>
      <c r="C551">
        <f t="shared" si="13"/>
        <v>10.106509627274329</v>
      </c>
    </row>
    <row r="552" spans="1:3" x14ac:dyDescent="0.3">
      <c r="A552" s="1">
        <v>42815</v>
      </c>
      <c r="B552">
        <v>24593.119140999999</v>
      </c>
      <c r="C552">
        <f t="shared" si="13"/>
        <v>10.110221973078948</v>
      </c>
    </row>
    <row r="553" spans="1:3" x14ac:dyDescent="0.3">
      <c r="A553" s="1">
        <v>42816</v>
      </c>
      <c r="B553">
        <v>24320.410156000002</v>
      </c>
      <c r="C553">
        <f t="shared" si="13"/>
        <v>10.099071200904996</v>
      </c>
    </row>
    <row r="554" spans="1:3" x14ac:dyDescent="0.3">
      <c r="A554" s="1">
        <v>42817</v>
      </c>
      <c r="B554">
        <v>24327.699218999998</v>
      </c>
      <c r="C554">
        <f t="shared" si="13"/>
        <v>10.099370865707932</v>
      </c>
    </row>
    <row r="555" spans="1:3" x14ac:dyDescent="0.3">
      <c r="A555" s="1">
        <v>42818</v>
      </c>
      <c r="B555">
        <v>24358.269531000002</v>
      </c>
      <c r="C555">
        <f t="shared" si="13"/>
        <v>10.100626681985293</v>
      </c>
    </row>
    <row r="556" spans="1:3" x14ac:dyDescent="0.3">
      <c r="A556" s="1">
        <v>42821</v>
      </c>
      <c r="B556">
        <v>24193.699218999998</v>
      </c>
      <c r="C556">
        <f t="shared" si="13"/>
        <v>10.093847515393247</v>
      </c>
    </row>
    <row r="557" spans="1:3" x14ac:dyDescent="0.3">
      <c r="A557" s="1">
        <v>42822</v>
      </c>
      <c r="B557">
        <v>24345.869140999999</v>
      </c>
      <c r="C557">
        <f t="shared" si="13"/>
        <v>10.100117468985902</v>
      </c>
    </row>
    <row r="558" spans="1:3" x14ac:dyDescent="0.3">
      <c r="A558" s="1">
        <v>42823</v>
      </c>
      <c r="B558">
        <v>24392.050781000002</v>
      </c>
      <c r="C558">
        <f t="shared" si="13"/>
        <v>10.102012570537029</v>
      </c>
    </row>
    <row r="559" spans="1:3" x14ac:dyDescent="0.3">
      <c r="A559" s="1">
        <v>42824</v>
      </c>
      <c r="B559">
        <v>24301.089843999998</v>
      </c>
      <c r="C559">
        <f t="shared" si="13"/>
        <v>10.098276477870254</v>
      </c>
    </row>
    <row r="560" spans="1:3" x14ac:dyDescent="0.3">
      <c r="A560" s="1">
        <v>42825</v>
      </c>
      <c r="B560">
        <v>24111.589843999998</v>
      </c>
      <c r="C560">
        <f t="shared" si="13"/>
        <v>10.09044791027037</v>
      </c>
    </row>
    <row r="561" spans="1:3" x14ac:dyDescent="0.3">
      <c r="A561" s="1">
        <v>42828</v>
      </c>
      <c r="B561">
        <v>24261.480468999998</v>
      </c>
      <c r="C561">
        <f t="shared" si="13"/>
        <v>10.096645205739135</v>
      </c>
    </row>
    <row r="562" spans="1:3" x14ac:dyDescent="0.3">
      <c r="A562" s="1">
        <v>42830</v>
      </c>
      <c r="B562">
        <v>24400.800781000002</v>
      </c>
      <c r="C562">
        <f t="shared" si="13"/>
        <v>10.102371229636208</v>
      </c>
    </row>
    <row r="563" spans="1:3" x14ac:dyDescent="0.3">
      <c r="A563" s="1">
        <v>42831</v>
      </c>
      <c r="B563">
        <v>24273.720702999999</v>
      </c>
      <c r="C563">
        <f t="shared" si="13"/>
        <v>10.097149591585445</v>
      </c>
    </row>
    <row r="564" spans="1:3" x14ac:dyDescent="0.3">
      <c r="A564" s="1">
        <v>42832</v>
      </c>
      <c r="B564">
        <v>24267.300781000002</v>
      </c>
      <c r="C564">
        <f t="shared" si="13"/>
        <v>10.096885076260422</v>
      </c>
    </row>
    <row r="565" spans="1:3" x14ac:dyDescent="0.3">
      <c r="A565" s="1">
        <v>42835</v>
      </c>
      <c r="B565">
        <v>24262.179688</v>
      </c>
      <c r="C565">
        <f t="shared" si="13"/>
        <v>10.096674025452973</v>
      </c>
    </row>
    <row r="566" spans="1:3" x14ac:dyDescent="0.3">
      <c r="A566" s="1">
        <v>42836</v>
      </c>
      <c r="B566">
        <v>24088.460938</v>
      </c>
      <c r="C566">
        <f t="shared" si="13"/>
        <v>10.08948820556467</v>
      </c>
    </row>
    <row r="567" spans="1:3" x14ac:dyDescent="0.3">
      <c r="A567" s="1">
        <v>42837</v>
      </c>
      <c r="B567">
        <v>24313.5</v>
      </c>
      <c r="C567">
        <f t="shared" si="13"/>
        <v>10.09878703062034</v>
      </c>
    </row>
    <row r="568" spans="1:3" x14ac:dyDescent="0.3">
      <c r="A568" s="1">
        <v>42838</v>
      </c>
      <c r="B568">
        <v>24261.660156000002</v>
      </c>
      <c r="C568">
        <f t="shared" si="13"/>
        <v>10.09665261197862</v>
      </c>
    </row>
    <row r="569" spans="1:3" x14ac:dyDescent="0.3">
      <c r="A569" s="1">
        <v>42843</v>
      </c>
      <c r="B569">
        <v>23924.539063</v>
      </c>
      <c r="C569">
        <f t="shared" si="13"/>
        <v>10.082659950221249</v>
      </c>
    </row>
    <row r="570" spans="1:3" x14ac:dyDescent="0.3">
      <c r="A570" s="1">
        <v>42844</v>
      </c>
      <c r="B570">
        <v>23825.880859000001</v>
      </c>
      <c r="C570">
        <f t="shared" si="13"/>
        <v>10.078527699885123</v>
      </c>
    </row>
    <row r="571" spans="1:3" x14ac:dyDescent="0.3">
      <c r="A571" s="1">
        <v>42845</v>
      </c>
      <c r="B571">
        <v>24056.980468999998</v>
      </c>
      <c r="C571">
        <f t="shared" si="13"/>
        <v>10.088180481611317</v>
      </c>
    </row>
    <row r="572" spans="1:3" x14ac:dyDescent="0.3">
      <c r="A572" s="1">
        <v>42846</v>
      </c>
      <c r="B572">
        <v>24042.019531000002</v>
      </c>
      <c r="C572">
        <f t="shared" si="13"/>
        <v>10.087558392233889</v>
      </c>
    </row>
    <row r="573" spans="1:3" x14ac:dyDescent="0.3">
      <c r="A573" s="1">
        <v>42849</v>
      </c>
      <c r="B573">
        <v>24139.480468999998</v>
      </c>
      <c r="C573">
        <f t="shared" si="13"/>
        <v>10.091603972837493</v>
      </c>
    </row>
    <row r="574" spans="1:3" x14ac:dyDescent="0.3">
      <c r="A574" s="1">
        <v>42850</v>
      </c>
      <c r="B574">
        <v>24455.939452999999</v>
      </c>
      <c r="C574">
        <f t="shared" si="13"/>
        <v>10.104628387815234</v>
      </c>
    </row>
    <row r="575" spans="1:3" x14ac:dyDescent="0.3">
      <c r="A575" s="1">
        <v>42851</v>
      </c>
      <c r="B575">
        <v>24578.429688</v>
      </c>
      <c r="C575">
        <f t="shared" si="13"/>
        <v>10.109624495318462</v>
      </c>
    </row>
    <row r="576" spans="1:3" x14ac:dyDescent="0.3">
      <c r="A576" s="1">
        <v>42852</v>
      </c>
      <c r="B576">
        <v>24698.480468999998</v>
      </c>
      <c r="C576">
        <f t="shared" si="13"/>
        <v>10.114497001249983</v>
      </c>
    </row>
    <row r="577" spans="1:3" x14ac:dyDescent="0.3">
      <c r="A577" s="1">
        <v>42853</v>
      </c>
      <c r="B577">
        <v>24615.130859000001</v>
      </c>
      <c r="C577">
        <f t="shared" si="13"/>
        <v>10.111116608408111</v>
      </c>
    </row>
    <row r="578" spans="1:3" x14ac:dyDescent="0.3">
      <c r="A578" s="1">
        <v>42857</v>
      </c>
      <c r="B578">
        <v>24696.130859000001</v>
      </c>
      <c r="C578">
        <f t="shared" si="13"/>
        <v>10.114401864961284</v>
      </c>
    </row>
    <row r="579" spans="1:3" x14ac:dyDescent="0.3">
      <c r="A579" s="1">
        <v>42859</v>
      </c>
      <c r="B579">
        <v>24683.880859000001</v>
      </c>
      <c r="C579">
        <f t="shared" si="13"/>
        <v>10.113905712780468</v>
      </c>
    </row>
    <row r="580" spans="1:3" x14ac:dyDescent="0.3">
      <c r="A580" s="1">
        <v>42860</v>
      </c>
      <c r="B580">
        <v>24476.349609000001</v>
      </c>
      <c r="C580">
        <f t="shared" si="13"/>
        <v>10.105462608227764</v>
      </c>
    </row>
    <row r="581" spans="1:3" x14ac:dyDescent="0.3">
      <c r="A581" s="1">
        <v>42863</v>
      </c>
      <c r="B581">
        <v>24577.910156000002</v>
      </c>
      <c r="C581">
        <f t="shared" si="13"/>
        <v>10.109603357373626</v>
      </c>
    </row>
    <row r="582" spans="1:3" x14ac:dyDescent="0.3">
      <c r="A582" s="1">
        <v>42864</v>
      </c>
      <c r="B582">
        <v>24889.029297000001</v>
      </c>
      <c r="C582">
        <f t="shared" si="13"/>
        <v>10.122182394882365</v>
      </c>
    </row>
    <row r="583" spans="1:3" x14ac:dyDescent="0.3">
      <c r="A583" s="1">
        <v>42865</v>
      </c>
      <c r="B583">
        <v>25015.419922000001</v>
      </c>
      <c r="C583">
        <f t="shared" ref="C583:C646" si="14">LN(B583)</f>
        <v>10.127247710589323</v>
      </c>
    </row>
    <row r="584" spans="1:3" x14ac:dyDescent="0.3">
      <c r="A584" s="1">
        <v>42866</v>
      </c>
      <c r="B584">
        <v>25125.550781000002</v>
      </c>
      <c r="C584">
        <f t="shared" si="14"/>
        <v>10.131640566752942</v>
      </c>
    </row>
    <row r="585" spans="1:3" x14ac:dyDescent="0.3">
      <c r="A585" s="1">
        <v>42867</v>
      </c>
      <c r="B585">
        <v>25156.339843999998</v>
      </c>
      <c r="C585">
        <f t="shared" si="14"/>
        <v>10.132865225033106</v>
      </c>
    </row>
    <row r="586" spans="1:3" x14ac:dyDescent="0.3">
      <c r="A586" s="1">
        <v>42870</v>
      </c>
      <c r="B586">
        <v>25371.589843999998</v>
      </c>
      <c r="C586">
        <f t="shared" si="14"/>
        <v>10.141385316928655</v>
      </c>
    </row>
    <row r="587" spans="1:3" x14ac:dyDescent="0.3">
      <c r="A587" s="1">
        <v>42871</v>
      </c>
      <c r="B587">
        <v>25335.939452999999</v>
      </c>
      <c r="C587">
        <f t="shared" si="14"/>
        <v>10.139979198454016</v>
      </c>
    </row>
    <row r="588" spans="1:3" x14ac:dyDescent="0.3">
      <c r="A588" s="1">
        <v>42872</v>
      </c>
      <c r="B588">
        <v>25293.630859000001</v>
      </c>
      <c r="C588">
        <f t="shared" si="14"/>
        <v>10.138307898319038</v>
      </c>
    </row>
    <row r="589" spans="1:3" x14ac:dyDescent="0.3">
      <c r="A589" s="1">
        <v>42873</v>
      </c>
      <c r="B589">
        <v>25136.519531000002</v>
      </c>
      <c r="C589">
        <f t="shared" si="14"/>
        <v>10.132077029083524</v>
      </c>
    </row>
    <row r="590" spans="1:3" x14ac:dyDescent="0.3">
      <c r="A590" s="1">
        <v>42874</v>
      </c>
      <c r="B590">
        <v>25174.869140999999</v>
      </c>
      <c r="C590">
        <f t="shared" si="14"/>
        <v>10.133601519599074</v>
      </c>
    </row>
    <row r="591" spans="1:3" x14ac:dyDescent="0.3">
      <c r="A591" s="1">
        <v>42877</v>
      </c>
      <c r="B591">
        <v>25391.339843999998</v>
      </c>
      <c r="C591">
        <f t="shared" si="14"/>
        <v>10.142163443845991</v>
      </c>
    </row>
    <row r="592" spans="1:3" x14ac:dyDescent="0.3">
      <c r="A592" s="1">
        <v>42878</v>
      </c>
      <c r="B592">
        <v>25403.150390999999</v>
      </c>
      <c r="C592">
        <f t="shared" si="14"/>
        <v>10.142628476457134</v>
      </c>
    </row>
    <row r="593" spans="1:3" x14ac:dyDescent="0.3">
      <c r="A593" s="1">
        <v>42879</v>
      </c>
      <c r="B593">
        <v>25428.5</v>
      </c>
      <c r="C593">
        <f t="shared" si="14"/>
        <v>10.143625871226199</v>
      </c>
    </row>
    <row r="594" spans="1:3" x14ac:dyDescent="0.3">
      <c r="A594" s="1">
        <v>42880</v>
      </c>
      <c r="B594">
        <v>25630.779297000001</v>
      </c>
      <c r="C594">
        <f t="shared" si="14"/>
        <v>10.151549224553307</v>
      </c>
    </row>
    <row r="595" spans="1:3" x14ac:dyDescent="0.3">
      <c r="A595" s="1">
        <v>42881</v>
      </c>
      <c r="B595">
        <v>25639.269531000002</v>
      </c>
      <c r="C595">
        <f t="shared" si="14"/>
        <v>10.151880421198198</v>
      </c>
    </row>
    <row r="596" spans="1:3" x14ac:dyDescent="0.3">
      <c r="A596" s="1">
        <v>42884</v>
      </c>
      <c r="B596">
        <v>25701.630859000001</v>
      </c>
      <c r="C596">
        <f t="shared" si="14"/>
        <v>10.154309726418605</v>
      </c>
    </row>
    <row r="597" spans="1:3" x14ac:dyDescent="0.3">
      <c r="A597" s="1">
        <v>42886</v>
      </c>
      <c r="B597">
        <v>25660.650390999999</v>
      </c>
      <c r="C597">
        <f t="shared" si="14"/>
        <v>10.152713984341005</v>
      </c>
    </row>
    <row r="598" spans="1:3" x14ac:dyDescent="0.3">
      <c r="A598" s="1">
        <v>42887</v>
      </c>
      <c r="B598">
        <v>25809.220702999999</v>
      </c>
      <c r="C598">
        <f t="shared" si="14"/>
        <v>10.158487098649694</v>
      </c>
    </row>
    <row r="599" spans="1:3" x14ac:dyDescent="0.3">
      <c r="A599" s="1">
        <v>42888</v>
      </c>
      <c r="B599">
        <v>25924.050781000002</v>
      </c>
      <c r="C599">
        <f t="shared" si="14"/>
        <v>10.162926418386917</v>
      </c>
    </row>
    <row r="600" spans="1:3" x14ac:dyDescent="0.3">
      <c r="A600" s="1">
        <v>42891</v>
      </c>
      <c r="B600">
        <v>25862.990234000001</v>
      </c>
      <c r="C600">
        <f t="shared" si="14"/>
        <v>10.16056827727289</v>
      </c>
    </row>
    <row r="601" spans="1:3" x14ac:dyDescent="0.3">
      <c r="A601" s="1">
        <v>42892</v>
      </c>
      <c r="B601">
        <v>25997.140625</v>
      </c>
      <c r="C601">
        <f t="shared" si="14"/>
        <v>10.165741834994281</v>
      </c>
    </row>
    <row r="602" spans="1:3" x14ac:dyDescent="0.3">
      <c r="A602" s="1">
        <v>42893</v>
      </c>
      <c r="B602">
        <v>25974.160156000002</v>
      </c>
      <c r="C602">
        <f t="shared" si="14"/>
        <v>10.164857482663193</v>
      </c>
    </row>
    <row r="603" spans="1:3" x14ac:dyDescent="0.3">
      <c r="A603" s="1">
        <v>42894</v>
      </c>
      <c r="B603">
        <v>26063.060547000001</v>
      </c>
      <c r="C603">
        <f t="shared" si="14"/>
        <v>10.16827428610843</v>
      </c>
    </row>
    <row r="604" spans="1:3" x14ac:dyDescent="0.3">
      <c r="A604" s="1">
        <v>42895</v>
      </c>
      <c r="B604">
        <v>26030.289063</v>
      </c>
      <c r="C604">
        <f t="shared" si="14"/>
        <v>10.167016102921188</v>
      </c>
    </row>
    <row r="605" spans="1:3" x14ac:dyDescent="0.3">
      <c r="A605" s="1">
        <v>42898</v>
      </c>
      <c r="B605">
        <v>25708.039063</v>
      </c>
      <c r="C605">
        <f t="shared" si="14"/>
        <v>10.15455902597812</v>
      </c>
    </row>
    <row r="606" spans="1:3" x14ac:dyDescent="0.3">
      <c r="A606" s="1">
        <v>42899</v>
      </c>
      <c r="B606">
        <v>25852.099609000001</v>
      </c>
      <c r="C606">
        <f t="shared" si="14"/>
        <v>10.160147099423483</v>
      </c>
    </row>
    <row r="607" spans="1:3" x14ac:dyDescent="0.3">
      <c r="A607" s="1">
        <v>42900</v>
      </c>
      <c r="B607">
        <v>25875.900390999999</v>
      </c>
      <c r="C607">
        <f t="shared" si="14"/>
        <v>10.16106732768205</v>
      </c>
    </row>
    <row r="608" spans="1:3" x14ac:dyDescent="0.3">
      <c r="A608" s="1">
        <v>42901</v>
      </c>
      <c r="B608">
        <v>25565.339843999998</v>
      </c>
      <c r="C608">
        <f t="shared" si="14"/>
        <v>10.148992800756469</v>
      </c>
    </row>
    <row r="609" spans="1:3" x14ac:dyDescent="0.3">
      <c r="A609" s="1">
        <v>42902</v>
      </c>
      <c r="B609">
        <v>25626.490234000001</v>
      </c>
      <c r="C609">
        <f t="shared" si="14"/>
        <v>10.151381870222917</v>
      </c>
    </row>
    <row r="610" spans="1:3" x14ac:dyDescent="0.3">
      <c r="A610" s="1">
        <v>42905</v>
      </c>
      <c r="B610">
        <v>25924.550781000002</v>
      </c>
      <c r="C610">
        <f t="shared" si="14"/>
        <v>10.162945705310188</v>
      </c>
    </row>
    <row r="611" spans="1:3" x14ac:dyDescent="0.3">
      <c r="A611" s="1">
        <v>42906</v>
      </c>
      <c r="B611">
        <v>25843.039063</v>
      </c>
      <c r="C611">
        <f t="shared" si="14"/>
        <v>10.159796561778144</v>
      </c>
    </row>
    <row r="612" spans="1:3" x14ac:dyDescent="0.3">
      <c r="A612" s="1">
        <v>42907</v>
      </c>
      <c r="B612">
        <v>25694.580077999999</v>
      </c>
      <c r="C612">
        <f t="shared" si="14"/>
        <v>10.154035356735871</v>
      </c>
    </row>
    <row r="613" spans="1:3" x14ac:dyDescent="0.3">
      <c r="A613" s="1">
        <v>42908</v>
      </c>
      <c r="B613">
        <v>25674.529297000001</v>
      </c>
      <c r="C613">
        <f t="shared" si="14"/>
        <v>10.153254701503096</v>
      </c>
    </row>
    <row r="614" spans="1:3" x14ac:dyDescent="0.3">
      <c r="A614" s="1">
        <v>42909</v>
      </c>
      <c r="B614">
        <v>25670.050781000002</v>
      </c>
      <c r="C614">
        <f t="shared" si="14"/>
        <v>10.153080252086836</v>
      </c>
    </row>
    <row r="615" spans="1:3" x14ac:dyDescent="0.3">
      <c r="A615" s="1">
        <v>42912</v>
      </c>
      <c r="B615">
        <v>25871.890625</v>
      </c>
      <c r="C615">
        <f t="shared" si="14"/>
        <v>10.160912354264662</v>
      </c>
    </row>
    <row r="616" spans="1:3" x14ac:dyDescent="0.3">
      <c r="A616" s="1">
        <v>42913</v>
      </c>
      <c r="B616">
        <v>25839.990234000001</v>
      </c>
      <c r="C616">
        <f t="shared" si="14"/>
        <v>10.15967857995529</v>
      </c>
    </row>
    <row r="617" spans="1:3" x14ac:dyDescent="0.3">
      <c r="A617" s="1">
        <v>42914</v>
      </c>
      <c r="B617">
        <v>25683.5</v>
      </c>
      <c r="C617">
        <f t="shared" si="14"/>
        <v>10.153604041351764</v>
      </c>
    </row>
    <row r="618" spans="1:3" x14ac:dyDescent="0.3">
      <c r="A618" s="1">
        <v>42915</v>
      </c>
      <c r="B618">
        <v>25965.419922000001</v>
      </c>
      <c r="C618">
        <f t="shared" si="14"/>
        <v>10.164520928764629</v>
      </c>
    </row>
    <row r="619" spans="1:3" x14ac:dyDescent="0.3">
      <c r="A619" s="1">
        <v>42916</v>
      </c>
      <c r="B619">
        <v>25764.580077999999</v>
      </c>
      <c r="C619">
        <f t="shared" si="14"/>
        <v>10.156755962473094</v>
      </c>
    </row>
    <row r="620" spans="1:3" x14ac:dyDescent="0.3">
      <c r="A620" s="1">
        <v>42919</v>
      </c>
      <c r="B620">
        <v>25784.169922000001</v>
      </c>
      <c r="C620">
        <f t="shared" si="14"/>
        <v>10.157516013684543</v>
      </c>
    </row>
    <row r="621" spans="1:3" x14ac:dyDescent="0.3">
      <c r="A621" s="1">
        <v>42920</v>
      </c>
      <c r="B621">
        <v>25389.009765999999</v>
      </c>
      <c r="C621">
        <f t="shared" si="14"/>
        <v>10.142071672992913</v>
      </c>
    </row>
    <row r="622" spans="1:3" x14ac:dyDescent="0.3">
      <c r="A622" s="1">
        <v>42921</v>
      </c>
      <c r="B622">
        <v>25521.970702999999</v>
      </c>
      <c r="C622">
        <f t="shared" si="14"/>
        <v>10.147294956381657</v>
      </c>
    </row>
    <row r="623" spans="1:3" x14ac:dyDescent="0.3">
      <c r="A623" s="1">
        <v>42922</v>
      </c>
      <c r="B623">
        <v>25465.220702999999</v>
      </c>
      <c r="C623">
        <f t="shared" si="14"/>
        <v>10.145068906196521</v>
      </c>
    </row>
    <row r="624" spans="1:3" x14ac:dyDescent="0.3">
      <c r="A624" s="1">
        <v>42923</v>
      </c>
      <c r="B624">
        <v>25340.849609000001</v>
      </c>
      <c r="C624">
        <f t="shared" si="14"/>
        <v>10.140172981687179</v>
      </c>
    </row>
    <row r="625" spans="1:3" x14ac:dyDescent="0.3">
      <c r="A625" s="1">
        <v>42926</v>
      </c>
      <c r="B625">
        <v>25500.060547000001</v>
      </c>
      <c r="C625">
        <f t="shared" si="14"/>
        <v>10.146436105535855</v>
      </c>
    </row>
    <row r="626" spans="1:3" x14ac:dyDescent="0.3">
      <c r="A626" s="1">
        <v>42927</v>
      </c>
      <c r="B626">
        <v>25877.640625</v>
      </c>
      <c r="C626">
        <f t="shared" si="14"/>
        <v>10.161134578500699</v>
      </c>
    </row>
    <row r="627" spans="1:3" x14ac:dyDescent="0.3">
      <c r="A627" s="1">
        <v>42928</v>
      </c>
      <c r="B627">
        <v>26043.640625</v>
      </c>
      <c r="C627">
        <f t="shared" si="14"/>
        <v>10.167528895497918</v>
      </c>
    </row>
    <row r="628" spans="1:3" x14ac:dyDescent="0.3">
      <c r="A628" s="1">
        <v>42929</v>
      </c>
      <c r="B628">
        <v>26346.169922000001</v>
      </c>
      <c r="C628">
        <f t="shared" si="14"/>
        <v>10.179078189400796</v>
      </c>
    </row>
    <row r="629" spans="1:3" x14ac:dyDescent="0.3">
      <c r="A629" s="1">
        <v>42930</v>
      </c>
      <c r="B629">
        <v>26389.230468999998</v>
      </c>
      <c r="C629">
        <f t="shared" si="14"/>
        <v>10.180711269125261</v>
      </c>
    </row>
    <row r="630" spans="1:3" x14ac:dyDescent="0.3">
      <c r="A630" s="1">
        <v>42933</v>
      </c>
      <c r="B630">
        <v>26470.580077999999</v>
      </c>
      <c r="C630">
        <f t="shared" si="14"/>
        <v>10.183789209525795</v>
      </c>
    </row>
    <row r="631" spans="1:3" x14ac:dyDescent="0.3">
      <c r="A631" s="1">
        <v>42934</v>
      </c>
      <c r="B631">
        <v>26524.939452999999</v>
      </c>
      <c r="C631">
        <f t="shared" si="14"/>
        <v>10.18584068084056</v>
      </c>
    </row>
    <row r="632" spans="1:3" x14ac:dyDescent="0.3">
      <c r="A632" s="1">
        <v>42935</v>
      </c>
      <c r="B632">
        <v>26672.160156000002</v>
      </c>
      <c r="C632">
        <f t="shared" si="14"/>
        <v>10.191375609621618</v>
      </c>
    </row>
    <row r="633" spans="1:3" x14ac:dyDescent="0.3">
      <c r="A633" s="1">
        <v>42936</v>
      </c>
      <c r="B633">
        <v>26740.210938</v>
      </c>
      <c r="C633">
        <f t="shared" si="14"/>
        <v>10.193923739106495</v>
      </c>
    </row>
    <row r="634" spans="1:3" x14ac:dyDescent="0.3">
      <c r="A634" s="1">
        <v>42937</v>
      </c>
      <c r="B634">
        <v>26706.089843999998</v>
      </c>
      <c r="C634">
        <f t="shared" si="14"/>
        <v>10.192646902426073</v>
      </c>
    </row>
    <row r="635" spans="1:3" x14ac:dyDescent="0.3">
      <c r="A635" s="1">
        <v>42940</v>
      </c>
      <c r="B635">
        <v>26846.830077999999</v>
      </c>
      <c r="C635">
        <f t="shared" si="14"/>
        <v>10.197903032557649</v>
      </c>
    </row>
    <row r="636" spans="1:3" x14ac:dyDescent="0.3">
      <c r="A636" s="1">
        <v>42941</v>
      </c>
      <c r="B636">
        <v>26852.050781000002</v>
      </c>
      <c r="C636">
        <f t="shared" si="14"/>
        <v>10.198097476200903</v>
      </c>
    </row>
    <row r="637" spans="1:3" x14ac:dyDescent="0.3">
      <c r="A637" s="1">
        <v>42942</v>
      </c>
      <c r="B637">
        <v>26941.019531000002</v>
      </c>
      <c r="C637">
        <f t="shared" si="14"/>
        <v>10.201405293754581</v>
      </c>
    </row>
    <row r="638" spans="1:3" x14ac:dyDescent="0.3">
      <c r="A638" s="1">
        <v>42943</v>
      </c>
      <c r="B638">
        <v>27131.169922000001</v>
      </c>
      <c r="C638">
        <f t="shared" si="14"/>
        <v>10.208438527539286</v>
      </c>
    </row>
    <row r="639" spans="1:3" x14ac:dyDescent="0.3">
      <c r="A639" s="1">
        <v>42944</v>
      </c>
      <c r="B639">
        <v>26979.390625</v>
      </c>
      <c r="C639">
        <f t="shared" si="14"/>
        <v>10.202828543331732</v>
      </c>
    </row>
    <row r="640" spans="1:3" x14ac:dyDescent="0.3">
      <c r="A640" s="1">
        <v>42947</v>
      </c>
      <c r="B640">
        <v>27323.990234000001</v>
      </c>
      <c r="C640">
        <f t="shared" si="14"/>
        <v>10.215520358436949</v>
      </c>
    </row>
    <row r="641" spans="1:3" x14ac:dyDescent="0.3">
      <c r="A641" s="1">
        <v>42948</v>
      </c>
      <c r="B641">
        <v>27540.230468999998</v>
      </c>
      <c r="C641">
        <f t="shared" si="14"/>
        <v>10.223403140766148</v>
      </c>
    </row>
    <row r="642" spans="1:3" x14ac:dyDescent="0.3">
      <c r="A642" s="1">
        <v>42949</v>
      </c>
      <c r="B642">
        <v>27607.380859000001</v>
      </c>
      <c r="C642">
        <f t="shared" si="14"/>
        <v>10.225838438381773</v>
      </c>
    </row>
    <row r="643" spans="1:3" x14ac:dyDescent="0.3">
      <c r="A643" s="1">
        <v>42950</v>
      </c>
      <c r="B643">
        <v>27531.009765999999</v>
      </c>
      <c r="C643">
        <f t="shared" si="14"/>
        <v>10.223068276214459</v>
      </c>
    </row>
    <row r="644" spans="1:3" x14ac:dyDescent="0.3">
      <c r="A644" s="1">
        <v>42951</v>
      </c>
      <c r="B644">
        <v>27562.679688</v>
      </c>
      <c r="C644">
        <f t="shared" si="14"/>
        <v>10.224217951460469</v>
      </c>
    </row>
    <row r="645" spans="1:3" x14ac:dyDescent="0.3">
      <c r="A645" s="1">
        <v>42954</v>
      </c>
      <c r="B645">
        <v>27690.359375</v>
      </c>
      <c r="C645">
        <f t="shared" si="14"/>
        <v>10.228839594592886</v>
      </c>
    </row>
    <row r="646" spans="1:3" x14ac:dyDescent="0.3">
      <c r="A646" s="1">
        <v>42955</v>
      </c>
      <c r="B646">
        <v>27854.910156000002</v>
      </c>
      <c r="C646">
        <f t="shared" si="14"/>
        <v>10.234764537032374</v>
      </c>
    </row>
    <row r="647" spans="1:3" x14ac:dyDescent="0.3">
      <c r="A647" s="1">
        <v>42956</v>
      </c>
      <c r="B647">
        <v>27757.089843999998</v>
      </c>
      <c r="C647">
        <f t="shared" ref="C647:C710" si="15">LN(B647)</f>
        <v>10.231246576416474</v>
      </c>
    </row>
    <row r="648" spans="1:3" x14ac:dyDescent="0.3">
      <c r="A648" s="1">
        <v>42957</v>
      </c>
      <c r="B648">
        <v>27444</v>
      </c>
      <c r="C648">
        <f t="shared" si="15"/>
        <v>10.219902843810781</v>
      </c>
    </row>
    <row r="649" spans="1:3" x14ac:dyDescent="0.3">
      <c r="A649" s="1">
        <v>42958</v>
      </c>
      <c r="B649">
        <v>26883.509765999999</v>
      </c>
      <c r="C649">
        <f t="shared" si="15"/>
        <v>10.199268357765135</v>
      </c>
    </row>
    <row r="650" spans="1:3" x14ac:dyDescent="0.3">
      <c r="A650" s="1">
        <v>42961</v>
      </c>
      <c r="B650">
        <v>27250.230468999998</v>
      </c>
      <c r="C650">
        <f t="shared" si="15"/>
        <v>10.212817257633606</v>
      </c>
    </row>
    <row r="651" spans="1:3" x14ac:dyDescent="0.3">
      <c r="A651" s="1">
        <v>42962</v>
      </c>
      <c r="B651">
        <v>27174.960938</v>
      </c>
      <c r="C651">
        <f t="shared" si="15"/>
        <v>10.210051274564274</v>
      </c>
    </row>
    <row r="652" spans="1:3" x14ac:dyDescent="0.3">
      <c r="A652" s="1">
        <v>42963</v>
      </c>
      <c r="B652">
        <v>27409.070313</v>
      </c>
      <c r="C652">
        <f t="shared" si="15"/>
        <v>10.218629270917889</v>
      </c>
    </row>
    <row r="653" spans="1:3" x14ac:dyDescent="0.3">
      <c r="A653" s="1">
        <v>42964</v>
      </c>
      <c r="B653">
        <v>27344.220702999999</v>
      </c>
      <c r="C653">
        <f t="shared" si="15"/>
        <v>10.216260476673003</v>
      </c>
    </row>
    <row r="654" spans="1:3" x14ac:dyDescent="0.3">
      <c r="A654" s="1">
        <v>42965</v>
      </c>
      <c r="B654">
        <v>27047.570313</v>
      </c>
      <c r="C654">
        <f t="shared" si="15"/>
        <v>10.205352458170143</v>
      </c>
    </row>
    <row r="655" spans="1:3" x14ac:dyDescent="0.3">
      <c r="A655" s="1">
        <v>42968</v>
      </c>
      <c r="B655">
        <v>27154.679688</v>
      </c>
      <c r="C655">
        <f t="shared" si="15"/>
        <v>10.209304674707974</v>
      </c>
    </row>
    <row r="656" spans="1:3" x14ac:dyDescent="0.3">
      <c r="A656" s="1">
        <v>42969</v>
      </c>
      <c r="B656">
        <v>27401.669922000001</v>
      </c>
      <c r="C656">
        <f t="shared" si="15"/>
        <v>10.21835923657742</v>
      </c>
    </row>
    <row r="657" spans="1:3" x14ac:dyDescent="0.3">
      <c r="A657" s="1">
        <v>42971</v>
      </c>
      <c r="B657">
        <v>27518.599609000001</v>
      </c>
      <c r="C657">
        <f t="shared" si="15"/>
        <v>10.222617404451656</v>
      </c>
    </row>
    <row r="658" spans="1:3" x14ac:dyDescent="0.3">
      <c r="A658" s="1">
        <v>42972</v>
      </c>
      <c r="B658">
        <v>27848.160156000002</v>
      </c>
      <c r="C658">
        <f t="shared" si="15"/>
        <v>10.234522180552014</v>
      </c>
    </row>
    <row r="659" spans="1:3" x14ac:dyDescent="0.3">
      <c r="A659" s="1">
        <v>42975</v>
      </c>
      <c r="B659">
        <v>27863.289063</v>
      </c>
      <c r="C659">
        <f t="shared" si="15"/>
        <v>10.235065297185452</v>
      </c>
    </row>
    <row r="660" spans="1:3" x14ac:dyDescent="0.3">
      <c r="A660" s="1">
        <v>42976</v>
      </c>
      <c r="B660">
        <v>27765.009765999999</v>
      </c>
      <c r="C660">
        <f t="shared" si="15"/>
        <v>10.231531865413444</v>
      </c>
    </row>
    <row r="661" spans="1:3" x14ac:dyDescent="0.3">
      <c r="A661" s="1">
        <v>42977</v>
      </c>
      <c r="B661">
        <v>28094.609375</v>
      </c>
      <c r="C661">
        <f t="shared" si="15"/>
        <v>10.243332999730118</v>
      </c>
    </row>
    <row r="662" spans="1:3" x14ac:dyDescent="0.3">
      <c r="A662" s="1">
        <v>42978</v>
      </c>
      <c r="B662">
        <v>27970.300781000002</v>
      </c>
      <c r="C662">
        <f t="shared" si="15"/>
        <v>10.238898539838578</v>
      </c>
    </row>
    <row r="663" spans="1:3" x14ac:dyDescent="0.3">
      <c r="A663" s="1">
        <v>42979</v>
      </c>
      <c r="B663">
        <v>27953.160156000002</v>
      </c>
      <c r="C663">
        <f t="shared" si="15"/>
        <v>10.238285536807307</v>
      </c>
    </row>
    <row r="664" spans="1:3" x14ac:dyDescent="0.3">
      <c r="A664" s="1">
        <v>42982</v>
      </c>
      <c r="B664">
        <v>27740.259765999999</v>
      </c>
      <c r="C664">
        <f t="shared" si="15"/>
        <v>10.230640058136441</v>
      </c>
    </row>
    <row r="665" spans="1:3" x14ac:dyDescent="0.3">
      <c r="A665" s="1">
        <v>42983</v>
      </c>
      <c r="B665">
        <v>27741.349609000001</v>
      </c>
      <c r="C665">
        <f t="shared" si="15"/>
        <v>10.230679344776192</v>
      </c>
    </row>
    <row r="666" spans="1:3" x14ac:dyDescent="0.3">
      <c r="A666" s="1">
        <v>42984</v>
      </c>
      <c r="B666">
        <v>27613.759765999999</v>
      </c>
      <c r="C666">
        <f t="shared" si="15"/>
        <v>10.22606946972072</v>
      </c>
    </row>
    <row r="667" spans="1:3" x14ac:dyDescent="0.3">
      <c r="A667" s="1">
        <v>42985</v>
      </c>
      <c r="B667">
        <v>27522.919922000001</v>
      </c>
      <c r="C667">
        <f t="shared" si="15"/>
        <v>10.222774388235742</v>
      </c>
    </row>
    <row r="668" spans="1:3" x14ac:dyDescent="0.3">
      <c r="A668" s="1">
        <v>42986</v>
      </c>
      <c r="B668">
        <v>27668.470702999999</v>
      </c>
      <c r="C668">
        <f t="shared" si="15"/>
        <v>10.228048802117328</v>
      </c>
    </row>
    <row r="669" spans="1:3" x14ac:dyDescent="0.3">
      <c r="A669" s="1">
        <v>42989</v>
      </c>
      <c r="B669">
        <v>27955.130859000001</v>
      </c>
      <c r="C669">
        <f t="shared" si="15"/>
        <v>10.238356034508634</v>
      </c>
    </row>
    <row r="670" spans="1:3" x14ac:dyDescent="0.3">
      <c r="A670" s="1">
        <v>42990</v>
      </c>
      <c r="B670">
        <v>27972.240234000001</v>
      </c>
      <c r="C670">
        <f t="shared" si="15"/>
        <v>10.238967877160967</v>
      </c>
    </row>
    <row r="671" spans="1:3" x14ac:dyDescent="0.3">
      <c r="A671" s="1">
        <v>42991</v>
      </c>
      <c r="B671">
        <v>27894.080077999999</v>
      </c>
      <c r="C671">
        <f t="shared" si="15"/>
        <v>10.236169761711107</v>
      </c>
    </row>
    <row r="672" spans="1:3" x14ac:dyDescent="0.3">
      <c r="A672" s="1">
        <v>42992</v>
      </c>
      <c r="B672">
        <v>27777.199218999998</v>
      </c>
      <c r="C672">
        <f t="shared" si="15"/>
        <v>10.231970791175256</v>
      </c>
    </row>
    <row r="673" spans="1:3" x14ac:dyDescent="0.3">
      <c r="A673" s="1">
        <v>42993</v>
      </c>
      <c r="B673">
        <v>27807.589843999998</v>
      </c>
      <c r="C673">
        <f t="shared" si="15"/>
        <v>10.233064278387873</v>
      </c>
    </row>
    <row r="674" spans="1:3" x14ac:dyDescent="0.3">
      <c r="A674" s="1">
        <v>42996</v>
      </c>
      <c r="B674">
        <v>28159.769531000002</v>
      </c>
      <c r="C674">
        <f t="shared" si="15"/>
        <v>10.245649625970021</v>
      </c>
    </row>
    <row r="675" spans="1:3" x14ac:dyDescent="0.3">
      <c r="A675" s="1">
        <v>42997</v>
      </c>
      <c r="B675">
        <v>28051.410156000002</v>
      </c>
      <c r="C675">
        <f t="shared" si="15"/>
        <v>10.241794182628377</v>
      </c>
    </row>
    <row r="676" spans="1:3" x14ac:dyDescent="0.3">
      <c r="A676" s="1">
        <v>42998</v>
      </c>
      <c r="B676">
        <v>28127.800781000002</v>
      </c>
      <c r="C676">
        <f t="shared" si="15"/>
        <v>10.244513717873076</v>
      </c>
    </row>
    <row r="677" spans="1:3" x14ac:dyDescent="0.3">
      <c r="A677" s="1">
        <v>42999</v>
      </c>
      <c r="B677">
        <v>28110.330077999999</v>
      </c>
      <c r="C677">
        <f t="shared" si="15"/>
        <v>10.243892406200899</v>
      </c>
    </row>
    <row r="678" spans="1:3" x14ac:dyDescent="0.3">
      <c r="A678" s="1">
        <v>43000</v>
      </c>
      <c r="B678">
        <v>27880.529297000001</v>
      </c>
      <c r="C678">
        <f t="shared" si="15"/>
        <v>10.235683849522085</v>
      </c>
    </row>
    <row r="679" spans="1:3" x14ac:dyDescent="0.3">
      <c r="A679" s="1">
        <v>43003</v>
      </c>
      <c r="B679">
        <v>27500.339843999998</v>
      </c>
      <c r="C679">
        <f t="shared" si="15"/>
        <v>10.221953641541941</v>
      </c>
    </row>
    <row r="680" spans="1:3" x14ac:dyDescent="0.3">
      <c r="A680" s="1">
        <v>43004</v>
      </c>
      <c r="B680">
        <v>27513.009765999999</v>
      </c>
      <c r="C680">
        <f t="shared" si="15"/>
        <v>10.222414254186464</v>
      </c>
    </row>
    <row r="681" spans="1:3" x14ac:dyDescent="0.3">
      <c r="A681" s="1">
        <v>43005</v>
      </c>
      <c r="B681">
        <v>27642.429688</v>
      </c>
      <c r="C681">
        <f t="shared" si="15"/>
        <v>10.227107178793895</v>
      </c>
    </row>
    <row r="682" spans="1:3" x14ac:dyDescent="0.3">
      <c r="A682" s="1">
        <v>43006</v>
      </c>
      <c r="B682">
        <v>27421.599609000001</v>
      </c>
      <c r="C682">
        <f t="shared" si="15"/>
        <v>10.219086288723284</v>
      </c>
    </row>
    <row r="683" spans="1:3" x14ac:dyDescent="0.3">
      <c r="A683" s="1">
        <v>43007</v>
      </c>
      <c r="B683">
        <v>27554.300781000002</v>
      </c>
      <c r="C683">
        <f t="shared" si="15"/>
        <v>10.223913910600709</v>
      </c>
    </row>
    <row r="684" spans="1:3" x14ac:dyDescent="0.3">
      <c r="A684" s="1">
        <v>43011</v>
      </c>
      <c r="B684">
        <v>28173.210938</v>
      </c>
      <c r="C684">
        <f t="shared" si="15"/>
        <v>10.246126838684249</v>
      </c>
    </row>
    <row r="685" spans="1:3" x14ac:dyDescent="0.3">
      <c r="A685" s="1">
        <v>43012</v>
      </c>
      <c r="B685">
        <v>28379.179688</v>
      </c>
      <c r="C685">
        <f t="shared" si="15"/>
        <v>10.253411045715598</v>
      </c>
    </row>
    <row r="686" spans="1:3" x14ac:dyDescent="0.3">
      <c r="A686" s="1">
        <v>43014</v>
      </c>
      <c r="B686">
        <v>28458.039063</v>
      </c>
      <c r="C686">
        <f t="shared" si="15"/>
        <v>10.256185967759134</v>
      </c>
    </row>
    <row r="687" spans="1:3" x14ac:dyDescent="0.3">
      <c r="A687" s="1">
        <v>43017</v>
      </c>
      <c r="B687">
        <v>28326.589843999998</v>
      </c>
      <c r="C687">
        <f t="shared" si="15"/>
        <v>10.251556212970657</v>
      </c>
    </row>
    <row r="688" spans="1:3" x14ac:dyDescent="0.3">
      <c r="A688" s="1">
        <v>43018</v>
      </c>
      <c r="B688">
        <v>28490.830077999999</v>
      </c>
      <c r="C688">
        <f t="shared" si="15"/>
        <v>10.257337562834451</v>
      </c>
    </row>
    <row r="689" spans="1:3" x14ac:dyDescent="0.3">
      <c r="A689" s="1">
        <v>43019</v>
      </c>
      <c r="B689">
        <v>28389.570313</v>
      </c>
      <c r="C689">
        <f t="shared" si="15"/>
        <v>10.253777114199256</v>
      </c>
    </row>
    <row r="690" spans="1:3" x14ac:dyDescent="0.3">
      <c r="A690" s="1">
        <v>43020</v>
      </c>
      <c r="B690">
        <v>28459.029297000001</v>
      </c>
      <c r="C690">
        <f t="shared" si="15"/>
        <v>10.256220763437428</v>
      </c>
    </row>
    <row r="691" spans="1:3" x14ac:dyDescent="0.3">
      <c r="A691" s="1">
        <v>43021</v>
      </c>
      <c r="B691">
        <v>28476.429688</v>
      </c>
      <c r="C691">
        <f t="shared" si="15"/>
        <v>10.256831995588778</v>
      </c>
    </row>
    <row r="692" spans="1:3" x14ac:dyDescent="0.3">
      <c r="A692" s="1">
        <v>43024</v>
      </c>
      <c r="B692">
        <v>28692.800781000002</v>
      </c>
      <c r="C692">
        <f t="shared" si="15"/>
        <v>10.264401526413531</v>
      </c>
    </row>
    <row r="693" spans="1:3" x14ac:dyDescent="0.3">
      <c r="A693" s="1">
        <v>43025</v>
      </c>
      <c r="B693">
        <v>28697.490234000001</v>
      </c>
      <c r="C693">
        <f t="shared" si="15"/>
        <v>10.264564949631204</v>
      </c>
    </row>
    <row r="694" spans="1:3" x14ac:dyDescent="0.3">
      <c r="A694" s="1">
        <v>43026</v>
      </c>
      <c r="B694">
        <v>28711.759765999999</v>
      </c>
      <c r="C694">
        <f t="shared" si="15"/>
        <v>10.265062065768198</v>
      </c>
    </row>
    <row r="695" spans="1:3" x14ac:dyDescent="0.3">
      <c r="A695" s="1">
        <v>43027</v>
      </c>
      <c r="B695">
        <v>28159.089843999998</v>
      </c>
      <c r="C695">
        <f t="shared" si="15"/>
        <v>10.245625488868965</v>
      </c>
    </row>
    <row r="696" spans="1:3" x14ac:dyDescent="0.3">
      <c r="A696" s="1">
        <v>43028</v>
      </c>
      <c r="B696">
        <v>28487.240234000001</v>
      </c>
      <c r="C696">
        <f t="shared" si="15"/>
        <v>10.25721155491649</v>
      </c>
    </row>
    <row r="697" spans="1:3" x14ac:dyDescent="0.3">
      <c r="A697" s="1">
        <v>43031</v>
      </c>
      <c r="B697">
        <v>28305.880859000001</v>
      </c>
      <c r="C697">
        <f t="shared" si="15"/>
        <v>10.250824866247973</v>
      </c>
    </row>
    <row r="698" spans="1:3" x14ac:dyDescent="0.3">
      <c r="A698" s="1">
        <v>43032</v>
      </c>
      <c r="B698">
        <v>28154.970702999999</v>
      </c>
      <c r="C698">
        <f t="shared" si="15"/>
        <v>10.245479197126999</v>
      </c>
    </row>
    <row r="699" spans="1:3" x14ac:dyDescent="0.3">
      <c r="A699" s="1">
        <v>43033</v>
      </c>
      <c r="B699">
        <v>28302.890625</v>
      </c>
      <c r="C699">
        <f t="shared" si="15"/>
        <v>10.250719220641315</v>
      </c>
    </row>
    <row r="700" spans="1:3" x14ac:dyDescent="0.3">
      <c r="A700" s="1">
        <v>43034</v>
      </c>
      <c r="B700">
        <v>28202.380859000001</v>
      </c>
      <c r="C700">
        <f t="shared" si="15"/>
        <v>10.247161680986506</v>
      </c>
    </row>
    <row r="701" spans="1:3" x14ac:dyDescent="0.3">
      <c r="A701" s="1">
        <v>43035</v>
      </c>
      <c r="B701">
        <v>28438.849609000001</v>
      </c>
      <c r="C701">
        <f t="shared" si="15"/>
        <v>10.255511433345196</v>
      </c>
    </row>
    <row r="702" spans="1:3" x14ac:dyDescent="0.3">
      <c r="A702" s="1">
        <v>43038</v>
      </c>
      <c r="B702">
        <v>28336.189452999999</v>
      </c>
      <c r="C702">
        <f t="shared" si="15"/>
        <v>10.251895045947469</v>
      </c>
    </row>
    <row r="703" spans="1:3" x14ac:dyDescent="0.3">
      <c r="A703" s="1">
        <v>43039</v>
      </c>
      <c r="B703">
        <v>28245.539063</v>
      </c>
      <c r="C703">
        <f t="shared" si="15"/>
        <v>10.248690814831269</v>
      </c>
    </row>
    <row r="704" spans="1:3" x14ac:dyDescent="0.3">
      <c r="A704" s="1">
        <v>43040</v>
      </c>
      <c r="B704">
        <v>28594.060547000001</v>
      </c>
      <c r="C704">
        <f t="shared" si="15"/>
        <v>10.260954302059064</v>
      </c>
    </row>
    <row r="705" spans="1:3" x14ac:dyDescent="0.3">
      <c r="A705" s="1">
        <v>43041</v>
      </c>
      <c r="B705">
        <v>28518.640625</v>
      </c>
      <c r="C705">
        <f t="shared" si="15"/>
        <v>10.258313209472215</v>
      </c>
    </row>
    <row r="706" spans="1:3" x14ac:dyDescent="0.3">
      <c r="A706" s="1">
        <v>43042</v>
      </c>
      <c r="B706">
        <v>28603.609375</v>
      </c>
      <c r="C706">
        <f t="shared" si="15"/>
        <v>10.261288190768228</v>
      </c>
    </row>
    <row r="707" spans="1:3" x14ac:dyDescent="0.3">
      <c r="A707" s="1">
        <v>43045</v>
      </c>
      <c r="B707">
        <v>28596.800781000002</v>
      </c>
      <c r="C707">
        <f t="shared" si="15"/>
        <v>10.261050129746861</v>
      </c>
    </row>
    <row r="708" spans="1:3" x14ac:dyDescent="0.3">
      <c r="A708" s="1">
        <v>43046</v>
      </c>
      <c r="B708">
        <v>28994.339843999998</v>
      </c>
      <c r="C708">
        <f t="shared" si="15"/>
        <v>10.274855912125844</v>
      </c>
    </row>
    <row r="709" spans="1:3" x14ac:dyDescent="0.3">
      <c r="A709" s="1">
        <v>43047</v>
      </c>
      <c r="B709">
        <v>28907.599609000001</v>
      </c>
      <c r="C709">
        <f t="shared" si="15"/>
        <v>10.271859801781146</v>
      </c>
    </row>
    <row r="710" spans="1:3" x14ac:dyDescent="0.3">
      <c r="A710" s="1">
        <v>43048</v>
      </c>
      <c r="B710">
        <v>29136.570313</v>
      </c>
      <c r="C710">
        <f t="shared" si="15"/>
        <v>10.279749375945229</v>
      </c>
    </row>
    <row r="711" spans="1:3" x14ac:dyDescent="0.3">
      <c r="A711" s="1">
        <v>43049</v>
      </c>
      <c r="B711">
        <v>29120.919922000001</v>
      </c>
      <c r="C711">
        <f t="shared" ref="C711:C774" si="16">LN(B711)</f>
        <v>10.279212092539668</v>
      </c>
    </row>
    <row r="712" spans="1:3" x14ac:dyDescent="0.3">
      <c r="A712" s="1">
        <v>43052</v>
      </c>
      <c r="B712">
        <v>29182.179688</v>
      </c>
      <c r="C712">
        <f t="shared" si="16"/>
        <v>10.281313517299356</v>
      </c>
    </row>
    <row r="713" spans="1:3" x14ac:dyDescent="0.3">
      <c r="A713" s="1">
        <v>43053</v>
      </c>
      <c r="B713">
        <v>29152.119140999999</v>
      </c>
      <c r="C713">
        <f t="shared" si="16"/>
        <v>10.280282886940741</v>
      </c>
    </row>
    <row r="714" spans="1:3" x14ac:dyDescent="0.3">
      <c r="A714" s="1">
        <v>43054</v>
      </c>
      <c r="B714">
        <v>28851.689452999999</v>
      </c>
      <c r="C714">
        <f t="shared" si="16"/>
        <v>10.269923830117696</v>
      </c>
    </row>
    <row r="715" spans="1:3" x14ac:dyDescent="0.3">
      <c r="A715" s="1">
        <v>43055</v>
      </c>
      <c r="B715">
        <v>29018.759765999999</v>
      </c>
      <c r="C715">
        <f t="shared" si="16"/>
        <v>10.275697788309206</v>
      </c>
    </row>
    <row r="716" spans="1:3" x14ac:dyDescent="0.3">
      <c r="A716" s="1">
        <v>43056</v>
      </c>
      <c r="B716">
        <v>29199.039063</v>
      </c>
      <c r="C716">
        <f t="shared" si="16"/>
        <v>10.281891078913496</v>
      </c>
    </row>
    <row r="717" spans="1:3" x14ac:dyDescent="0.3">
      <c r="A717" s="1">
        <v>43059</v>
      </c>
      <c r="B717">
        <v>29260.310547000001</v>
      </c>
      <c r="C717">
        <f t="shared" si="16"/>
        <v>10.283987287880747</v>
      </c>
    </row>
    <row r="718" spans="1:3" x14ac:dyDescent="0.3">
      <c r="A718" s="1">
        <v>43060</v>
      </c>
      <c r="B718">
        <v>29818.070313</v>
      </c>
      <c r="C718">
        <f t="shared" si="16"/>
        <v>10.302869875057869</v>
      </c>
    </row>
    <row r="719" spans="1:3" x14ac:dyDescent="0.3">
      <c r="A719" s="1">
        <v>43061</v>
      </c>
      <c r="B719">
        <v>30003.490234000001</v>
      </c>
      <c r="C719">
        <f t="shared" si="16"/>
        <v>10.309068995010522</v>
      </c>
    </row>
    <row r="720" spans="1:3" x14ac:dyDescent="0.3">
      <c r="A720" s="1">
        <v>43062</v>
      </c>
      <c r="B720">
        <v>29707.939452999999</v>
      </c>
      <c r="C720">
        <f t="shared" si="16"/>
        <v>10.299169610716557</v>
      </c>
    </row>
    <row r="721" spans="1:3" x14ac:dyDescent="0.3">
      <c r="A721" s="1">
        <v>43063</v>
      </c>
      <c r="B721">
        <v>29866.320313</v>
      </c>
      <c r="C721">
        <f t="shared" si="16"/>
        <v>10.304486713564724</v>
      </c>
    </row>
    <row r="722" spans="1:3" x14ac:dyDescent="0.3">
      <c r="A722" s="1">
        <v>43066</v>
      </c>
      <c r="B722">
        <v>29686.189452999999</v>
      </c>
      <c r="C722">
        <f t="shared" si="16"/>
        <v>10.298437215061536</v>
      </c>
    </row>
    <row r="723" spans="1:3" x14ac:dyDescent="0.3">
      <c r="A723" s="1">
        <v>43067</v>
      </c>
      <c r="B723">
        <v>29680.849609000001</v>
      </c>
      <c r="C723">
        <f t="shared" si="16"/>
        <v>10.298257322511773</v>
      </c>
    </row>
    <row r="724" spans="1:3" x14ac:dyDescent="0.3">
      <c r="A724" s="1">
        <v>43068</v>
      </c>
      <c r="B724">
        <v>29623.830077999999</v>
      </c>
      <c r="C724">
        <f t="shared" si="16"/>
        <v>10.296334386619666</v>
      </c>
    </row>
    <row r="725" spans="1:3" x14ac:dyDescent="0.3">
      <c r="A725" s="1">
        <v>43069</v>
      </c>
      <c r="B725">
        <v>29177.349609000001</v>
      </c>
      <c r="C725">
        <f t="shared" si="16"/>
        <v>10.28114798892484</v>
      </c>
    </row>
    <row r="726" spans="1:3" x14ac:dyDescent="0.3">
      <c r="A726" s="1">
        <v>43070</v>
      </c>
      <c r="B726">
        <v>29074.240234000001</v>
      </c>
      <c r="C726">
        <f t="shared" si="16"/>
        <v>10.277607845798663</v>
      </c>
    </row>
    <row r="727" spans="1:3" x14ac:dyDescent="0.3">
      <c r="A727" s="1">
        <v>43073</v>
      </c>
      <c r="B727">
        <v>29138.279297000001</v>
      </c>
      <c r="C727">
        <f t="shared" si="16"/>
        <v>10.279808028486144</v>
      </c>
    </row>
    <row r="728" spans="1:3" x14ac:dyDescent="0.3">
      <c r="A728" s="1">
        <v>43074</v>
      </c>
      <c r="B728">
        <v>28842.800781000002</v>
      </c>
      <c r="C728">
        <f t="shared" si="16"/>
        <v>10.269615701142666</v>
      </c>
    </row>
    <row r="729" spans="1:3" x14ac:dyDescent="0.3">
      <c r="A729" s="1">
        <v>43075</v>
      </c>
      <c r="B729">
        <v>28224.800781000002</v>
      </c>
      <c r="C729">
        <f t="shared" si="16"/>
        <v>10.247956330746717</v>
      </c>
    </row>
    <row r="730" spans="1:3" x14ac:dyDescent="0.3">
      <c r="A730" s="1">
        <v>43076</v>
      </c>
      <c r="B730">
        <v>28303.189452999999</v>
      </c>
      <c r="C730">
        <f t="shared" si="16"/>
        <v>10.250729778800425</v>
      </c>
    </row>
    <row r="731" spans="1:3" x14ac:dyDescent="0.3">
      <c r="A731" s="1">
        <v>43077</v>
      </c>
      <c r="B731">
        <v>28639.849609000001</v>
      </c>
      <c r="C731">
        <f t="shared" si="16"/>
        <v>10.262554369978393</v>
      </c>
    </row>
    <row r="732" spans="1:3" x14ac:dyDescent="0.3">
      <c r="A732" s="1">
        <v>43080</v>
      </c>
      <c r="B732">
        <v>28965.289063</v>
      </c>
      <c r="C732">
        <f t="shared" si="16"/>
        <v>10.273853463215088</v>
      </c>
    </row>
    <row r="733" spans="1:3" x14ac:dyDescent="0.3">
      <c r="A733" s="1">
        <v>43081</v>
      </c>
      <c r="B733">
        <v>28793.880859000001</v>
      </c>
      <c r="C733">
        <f t="shared" si="16"/>
        <v>10.267918173375442</v>
      </c>
    </row>
    <row r="734" spans="1:3" x14ac:dyDescent="0.3">
      <c r="A734" s="1">
        <v>43082</v>
      </c>
      <c r="B734">
        <v>29222.099609000001</v>
      </c>
      <c r="C734">
        <f t="shared" si="16"/>
        <v>10.282680537925145</v>
      </c>
    </row>
    <row r="735" spans="1:3" x14ac:dyDescent="0.3">
      <c r="A735" s="1">
        <v>43083</v>
      </c>
      <c r="B735">
        <v>29166.380859000001</v>
      </c>
      <c r="C735">
        <f t="shared" si="16"/>
        <v>10.280771984509585</v>
      </c>
    </row>
    <row r="736" spans="1:3" x14ac:dyDescent="0.3">
      <c r="A736" s="1">
        <v>43084</v>
      </c>
      <c r="B736">
        <v>28848.109375</v>
      </c>
      <c r="C736">
        <f t="shared" si="16"/>
        <v>10.269799736859927</v>
      </c>
    </row>
    <row r="737" spans="1:3" x14ac:dyDescent="0.3">
      <c r="A737" s="1">
        <v>43087</v>
      </c>
      <c r="B737">
        <v>29050.410156000002</v>
      </c>
      <c r="C737">
        <f t="shared" si="16"/>
        <v>10.276787881147683</v>
      </c>
    </row>
    <row r="738" spans="1:3" x14ac:dyDescent="0.3">
      <c r="A738" s="1">
        <v>43088</v>
      </c>
      <c r="B738">
        <v>29253.660156000002</v>
      </c>
      <c r="C738">
        <f t="shared" si="16"/>
        <v>10.283759978369917</v>
      </c>
    </row>
    <row r="739" spans="1:3" x14ac:dyDescent="0.3">
      <c r="A739" s="1">
        <v>43089</v>
      </c>
      <c r="B739">
        <v>29234.089843999998</v>
      </c>
      <c r="C739">
        <f t="shared" si="16"/>
        <v>10.283090767715365</v>
      </c>
    </row>
    <row r="740" spans="1:3" x14ac:dyDescent="0.3">
      <c r="A740" s="1">
        <v>43090</v>
      </c>
      <c r="B740">
        <v>29367.060547000001</v>
      </c>
      <c r="C740">
        <f t="shared" si="16"/>
        <v>10.287628935663378</v>
      </c>
    </row>
    <row r="741" spans="1:3" x14ac:dyDescent="0.3">
      <c r="A741" s="1">
        <v>43091</v>
      </c>
      <c r="B741">
        <v>29578.009765999999</v>
      </c>
      <c r="C741">
        <f t="shared" si="16"/>
        <v>10.294786450904494</v>
      </c>
    </row>
    <row r="742" spans="1:3" x14ac:dyDescent="0.3">
      <c r="A742" s="1">
        <v>43096</v>
      </c>
      <c r="B742">
        <v>29597.660156000002</v>
      </c>
      <c r="C742">
        <f t="shared" si="16"/>
        <v>10.295450588403849</v>
      </c>
    </row>
    <row r="743" spans="1:3" x14ac:dyDescent="0.3">
      <c r="A743" s="1">
        <v>43097</v>
      </c>
      <c r="B743">
        <v>29863.710938</v>
      </c>
      <c r="C743">
        <f t="shared" si="16"/>
        <v>10.304399341268175</v>
      </c>
    </row>
    <row r="744" spans="1:3" x14ac:dyDescent="0.3">
      <c r="A744" s="1">
        <v>43098</v>
      </c>
      <c r="B744">
        <v>29919.150390999999</v>
      </c>
      <c r="C744">
        <f t="shared" si="16"/>
        <v>10.306254035662512</v>
      </c>
    </row>
    <row r="745" spans="1:3" x14ac:dyDescent="0.3">
      <c r="A745" s="1">
        <v>43102</v>
      </c>
      <c r="B745">
        <v>30515.310547000001</v>
      </c>
      <c r="C745">
        <f t="shared" si="16"/>
        <v>10.325983821790649</v>
      </c>
    </row>
    <row r="746" spans="1:3" x14ac:dyDescent="0.3">
      <c r="A746" s="1">
        <v>43103</v>
      </c>
      <c r="B746">
        <v>30560.949218999998</v>
      </c>
      <c r="C746">
        <f t="shared" si="16"/>
        <v>10.327478303629231</v>
      </c>
    </row>
    <row r="747" spans="1:3" x14ac:dyDescent="0.3">
      <c r="A747" s="1">
        <v>43104</v>
      </c>
      <c r="B747">
        <v>30736.480468999998</v>
      </c>
      <c r="C747">
        <f t="shared" si="16"/>
        <v>10.333205517011352</v>
      </c>
    </row>
    <row r="748" spans="1:3" x14ac:dyDescent="0.3">
      <c r="A748" s="1">
        <v>43105</v>
      </c>
      <c r="B748">
        <v>30814.640625</v>
      </c>
      <c r="C748">
        <f t="shared" si="16"/>
        <v>10.335745200988569</v>
      </c>
    </row>
    <row r="749" spans="1:3" x14ac:dyDescent="0.3">
      <c r="A749" s="1">
        <v>43108</v>
      </c>
      <c r="B749">
        <v>30899.529297000001</v>
      </c>
      <c r="C749">
        <f t="shared" si="16"/>
        <v>10.338496229663015</v>
      </c>
    </row>
    <row r="750" spans="1:3" x14ac:dyDescent="0.3">
      <c r="A750" s="1">
        <v>43109</v>
      </c>
      <c r="B750">
        <v>31011.410156000002</v>
      </c>
      <c r="C750">
        <f t="shared" si="16"/>
        <v>10.342110485294691</v>
      </c>
    </row>
    <row r="751" spans="1:3" x14ac:dyDescent="0.3">
      <c r="A751" s="1">
        <v>43110</v>
      </c>
      <c r="B751">
        <v>31073.720702999999</v>
      </c>
      <c r="C751">
        <f t="shared" si="16"/>
        <v>10.344117747486433</v>
      </c>
    </row>
    <row r="752" spans="1:3" x14ac:dyDescent="0.3">
      <c r="A752" s="1">
        <v>43111</v>
      </c>
      <c r="B752">
        <v>31120.390625</v>
      </c>
      <c r="C752">
        <f t="shared" si="16"/>
        <v>10.345618530430773</v>
      </c>
    </row>
    <row r="753" spans="1:3" x14ac:dyDescent="0.3">
      <c r="A753" s="1">
        <v>43112</v>
      </c>
      <c r="B753">
        <v>31412.539063</v>
      </c>
      <c r="C753">
        <f t="shared" si="16"/>
        <v>10.354962425400617</v>
      </c>
    </row>
    <row r="754" spans="1:3" x14ac:dyDescent="0.3">
      <c r="A754" s="1">
        <v>43115</v>
      </c>
      <c r="B754">
        <v>31338.869140999999</v>
      </c>
      <c r="C754">
        <f t="shared" si="16"/>
        <v>10.352614431691658</v>
      </c>
    </row>
    <row r="755" spans="1:3" x14ac:dyDescent="0.3">
      <c r="A755" s="1">
        <v>43116</v>
      </c>
      <c r="B755">
        <v>31904.75</v>
      </c>
      <c r="C755">
        <f t="shared" si="16"/>
        <v>10.370510180509328</v>
      </c>
    </row>
    <row r="756" spans="1:3" x14ac:dyDescent="0.3">
      <c r="A756" s="1">
        <v>43117</v>
      </c>
      <c r="B756">
        <v>31983.410156000002</v>
      </c>
      <c r="C756">
        <f t="shared" si="16"/>
        <v>10.372972614724205</v>
      </c>
    </row>
    <row r="757" spans="1:3" x14ac:dyDescent="0.3">
      <c r="A757" s="1">
        <v>43118</v>
      </c>
      <c r="B757">
        <v>32121.939452999999</v>
      </c>
      <c r="C757">
        <f t="shared" si="16"/>
        <v>10.377294547713525</v>
      </c>
    </row>
    <row r="758" spans="1:3" x14ac:dyDescent="0.3">
      <c r="A758" s="1">
        <v>43119</v>
      </c>
      <c r="B758">
        <v>32254.890625</v>
      </c>
      <c r="C758">
        <f t="shared" si="16"/>
        <v>10.381424958013453</v>
      </c>
    </row>
    <row r="759" spans="1:3" x14ac:dyDescent="0.3">
      <c r="A759" s="1">
        <v>43122</v>
      </c>
      <c r="B759">
        <v>32393.410156000002</v>
      </c>
      <c r="C759">
        <f t="shared" si="16"/>
        <v>10.385710290846905</v>
      </c>
    </row>
    <row r="760" spans="1:3" x14ac:dyDescent="0.3">
      <c r="A760" s="1">
        <v>43123</v>
      </c>
      <c r="B760">
        <v>32930.699219000002</v>
      </c>
      <c r="C760">
        <f t="shared" si="16"/>
        <v>10.402160608640276</v>
      </c>
    </row>
    <row r="761" spans="1:3" x14ac:dyDescent="0.3">
      <c r="A761" s="1">
        <v>43124</v>
      </c>
      <c r="B761">
        <v>32958.691405999998</v>
      </c>
      <c r="C761">
        <f t="shared" si="16"/>
        <v>10.403010280747379</v>
      </c>
    </row>
    <row r="762" spans="1:3" x14ac:dyDescent="0.3">
      <c r="A762" s="1">
        <v>43125</v>
      </c>
      <c r="B762">
        <v>32654.449218999998</v>
      </c>
      <c r="C762">
        <f t="shared" si="16"/>
        <v>10.393736395527847</v>
      </c>
    </row>
    <row r="763" spans="1:3" x14ac:dyDescent="0.3">
      <c r="A763" s="1">
        <v>43126</v>
      </c>
      <c r="B763">
        <v>33154.121094000002</v>
      </c>
      <c r="C763">
        <f t="shared" si="16"/>
        <v>10.408922304448431</v>
      </c>
    </row>
    <row r="764" spans="1:3" x14ac:dyDescent="0.3">
      <c r="A764" s="1">
        <v>43129</v>
      </c>
      <c r="B764">
        <v>32966.890625</v>
      </c>
      <c r="C764">
        <f t="shared" si="16"/>
        <v>10.403259022397879</v>
      </c>
    </row>
    <row r="765" spans="1:3" x14ac:dyDescent="0.3">
      <c r="A765" s="1">
        <v>43130</v>
      </c>
      <c r="B765">
        <v>32607.289063</v>
      </c>
      <c r="C765">
        <f t="shared" si="16"/>
        <v>10.392291133251652</v>
      </c>
    </row>
    <row r="766" spans="1:3" x14ac:dyDescent="0.3">
      <c r="A766" s="1">
        <v>43131</v>
      </c>
      <c r="B766">
        <v>32887.269530999998</v>
      </c>
      <c r="C766">
        <f t="shared" si="16"/>
        <v>10.400840917524677</v>
      </c>
    </row>
    <row r="767" spans="1:3" x14ac:dyDescent="0.3">
      <c r="A767" s="1">
        <v>43132</v>
      </c>
      <c r="B767">
        <v>32642.089843999998</v>
      </c>
      <c r="C767">
        <f t="shared" si="16"/>
        <v>10.393357834111731</v>
      </c>
    </row>
    <row r="768" spans="1:3" x14ac:dyDescent="0.3">
      <c r="A768" s="1">
        <v>43133</v>
      </c>
      <c r="B768">
        <v>32601.779297000001</v>
      </c>
      <c r="C768">
        <f t="shared" si="16"/>
        <v>10.39212214552796</v>
      </c>
    </row>
    <row r="769" spans="1:3" x14ac:dyDescent="0.3">
      <c r="A769" s="1">
        <v>43136</v>
      </c>
      <c r="B769">
        <v>32245.22</v>
      </c>
      <c r="C769">
        <f t="shared" si="16"/>
        <v>10.381125094184421</v>
      </c>
    </row>
    <row r="770" spans="1:3" x14ac:dyDescent="0.3">
      <c r="A770" s="1">
        <v>43137</v>
      </c>
      <c r="B770">
        <v>30595.419922000001</v>
      </c>
      <c r="C770">
        <f t="shared" si="16"/>
        <v>10.328605600986306</v>
      </c>
    </row>
    <row r="771" spans="1:3" x14ac:dyDescent="0.3">
      <c r="A771" s="1">
        <v>43138</v>
      </c>
      <c r="B771">
        <v>30323.199218999998</v>
      </c>
      <c r="C771">
        <f t="shared" si="16"/>
        <v>10.3196683493285</v>
      </c>
    </row>
    <row r="772" spans="1:3" x14ac:dyDescent="0.3">
      <c r="A772" s="1">
        <v>43139</v>
      </c>
      <c r="B772">
        <v>30451.269531000002</v>
      </c>
      <c r="C772">
        <f t="shared" si="16"/>
        <v>10.323882964584215</v>
      </c>
    </row>
    <row r="773" spans="1:3" x14ac:dyDescent="0.3">
      <c r="A773" s="1">
        <v>43140</v>
      </c>
      <c r="B773">
        <v>29507.419922000001</v>
      </c>
      <c r="C773">
        <f t="shared" si="16"/>
        <v>10.292397033481022</v>
      </c>
    </row>
    <row r="774" spans="1:3" x14ac:dyDescent="0.3">
      <c r="A774" s="1">
        <v>43143</v>
      </c>
      <c r="B774">
        <v>29459.630859000001</v>
      </c>
      <c r="C774">
        <f t="shared" si="16"/>
        <v>10.290776159693717</v>
      </c>
    </row>
    <row r="775" spans="1:3" x14ac:dyDescent="0.3">
      <c r="A775" s="1">
        <v>43144</v>
      </c>
      <c r="B775">
        <v>29839.529297000001</v>
      </c>
      <c r="C775">
        <f t="shared" ref="C775:C838" si="17">LN(B775)</f>
        <v>10.30358927996406</v>
      </c>
    </row>
    <row r="776" spans="1:3" x14ac:dyDescent="0.3">
      <c r="A776" s="1">
        <v>43145</v>
      </c>
      <c r="B776">
        <v>30515.599609000001</v>
      </c>
      <c r="C776">
        <f t="shared" si="17"/>
        <v>10.325993294433259</v>
      </c>
    </row>
    <row r="777" spans="1:3" x14ac:dyDescent="0.3">
      <c r="A777" s="1">
        <v>43146</v>
      </c>
      <c r="B777">
        <v>31115.429688</v>
      </c>
      <c r="C777">
        <f t="shared" si="17"/>
        <v>10.345459106581757</v>
      </c>
    </row>
    <row r="778" spans="1:3" x14ac:dyDescent="0.3">
      <c r="A778" s="1">
        <v>43151</v>
      </c>
      <c r="B778">
        <v>30873.630859000001</v>
      </c>
      <c r="C778">
        <f t="shared" si="17"/>
        <v>10.337657728299252</v>
      </c>
    </row>
    <row r="779" spans="1:3" x14ac:dyDescent="0.3">
      <c r="A779" s="1">
        <v>43152</v>
      </c>
      <c r="B779">
        <v>31431.890625</v>
      </c>
      <c r="C779">
        <f t="shared" si="17"/>
        <v>10.355578281498213</v>
      </c>
    </row>
    <row r="780" spans="1:3" x14ac:dyDescent="0.3">
      <c r="A780" s="1">
        <v>43153</v>
      </c>
      <c r="B780">
        <v>30965.679688</v>
      </c>
      <c r="C780">
        <f t="shared" si="17"/>
        <v>10.340634763333099</v>
      </c>
    </row>
    <row r="781" spans="1:3" x14ac:dyDescent="0.3">
      <c r="A781" s="1">
        <v>43154</v>
      </c>
      <c r="B781">
        <v>31267.169922000001</v>
      </c>
      <c r="C781">
        <f t="shared" si="17"/>
        <v>10.350323941783028</v>
      </c>
    </row>
    <row r="782" spans="1:3" x14ac:dyDescent="0.3">
      <c r="A782" s="1">
        <v>43157</v>
      </c>
      <c r="B782">
        <v>31498.599609000001</v>
      </c>
      <c r="C782">
        <f t="shared" si="17"/>
        <v>10.357698366968346</v>
      </c>
    </row>
    <row r="783" spans="1:3" x14ac:dyDescent="0.3">
      <c r="A783" s="1">
        <v>43158</v>
      </c>
      <c r="B783">
        <v>31268.660156000002</v>
      </c>
      <c r="C783">
        <f t="shared" si="17"/>
        <v>10.350371601948357</v>
      </c>
    </row>
    <row r="784" spans="1:3" x14ac:dyDescent="0.3">
      <c r="A784" s="1">
        <v>43159</v>
      </c>
      <c r="B784">
        <v>30844.720702999999</v>
      </c>
      <c r="C784">
        <f t="shared" si="17"/>
        <v>10.336720886747823</v>
      </c>
    </row>
    <row r="785" spans="1:3" x14ac:dyDescent="0.3">
      <c r="A785" s="1">
        <v>43160</v>
      </c>
      <c r="B785">
        <v>31044.25</v>
      </c>
      <c r="C785">
        <f t="shared" si="17"/>
        <v>10.343168885027547</v>
      </c>
    </row>
    <row r="786" spans="1:3" x14ac:dyDescent="0.3">
      <c r="A786" s="1">
        <v>43161</v>
      </c>
      <c r="B786">
        <v>30583.449218999998</v>
      </c>
      <c r="C786">
        <f t="shared" si="17"/>
        <v>10.328214266418639</v>
      </c>
    </row>
    <row r="787" spans="1:3" x14ac:dyDescent="0.3">
      <c r="A787" s="1">
        <v>43164</v>
      </c>
      <c r="B787">
        <v>29886.390625</v>
      </c>
      <c r="C787">
        <f t="shared" si="17"/>
        <v>10.305158492717158</v>
      </c>
    </row>
    <row r="788" spans="1:3" x14ac:dyDescent="0.3">
      <c r="A788" s="1">
        <v>43165</v>
      </c>
      <c r="B788">
        <v>30510.730468999998</v>
      </c>
      <c r="C788">
        <f t="shared" si="17"/>
        <v>10.325833719377568</v>
      </c>
    </row>
    <row r="789" spans="1:3" x14ac:dyDescent="0.3">
      <c r="A789" s="1">
        <v>43166</v>
      </c>
      <c r="B789">
        <v>30196.919922000001</v>
      </c>
      <c r="C789">
        <f t="shared" si="17"/>
        <v>10.315495208823947</v>
      </c>
    </row>
    <row r="790" spans="1:3" x14ac:dyDescent="0.3">
      <c r="A790" s="1">
        <v>43167</v>
      </c>
      <c r="B790">
        <v>30654.519531000002</v>
      </c>
      <c r="C790">
        <f t="shared" si="17"/>
        <v>10.330535386643849</v>
      </c>
    </row>
    <row r="791" spans="1:3" x14ac:dyDescent="0.3">
      <c r="A791" s="1">
        <v>43168</v>
      </c>
      <c r="B791">
        <v>30996.210938</v>
      </c>
      <c r="C791">
        <f t="shared" si="17"/>
        <v>10.341620248190404</v>
      </c>
    </row>
    <row r="792" spans="1:3" x14ac:dyDescent="0.3">
      <c r="A792" s="1">
        <v>43171</v>
      </c>
      <c r="B792">
        <v>31594.330077999999</v>
      </c>
      <c r="C792">
        <f t="shared" si="17"/>
        <v>10.360732955564497</v>
      </c>
    </row>
    <row r="793" spans="1:3" x14ac:dyDescent="0.3">
      <c r="A793" s="1">
        <v>43172</v>
      </c>
      <c r="B793">
        <v>31601.449218999998</v>
      </c>
      <c r="C793">
        <f t="shared" si="17"/>
        <v>10.360958259884162</v>
      </c>
    </row>
    <row r="794" spans="1:3" x14ac:dyDescent="0.3">
      <c r="A794" s="1">
        <v>43173</v>
      </c>
      <c r="B794">
        <v>31435.009765999999</v>
      </c>
      <c r="C794">
        <f t="shared" si="17"/>
        <v>10.35567751148993</v>
      </c>
    </row>
    <row r="795" spans="1:3" x14ac:dyDescent="0.3">
      <c r="A795" s="1">
        <v>43174</v>
      </c>
      <c r="B795">
        <v>31541.099609000001</v>
      </c>
      <c r="C795">
        <f t="shared" si="17"/>
        <v>10.359046723859835</v>
      </c>
    </row>
    <row r="796" spans="1:3" x14ac:dyDescent="0.3">
      <c r="A796" s="1">
        <v>43175</v>
      </c>
      <c r="B796">
        <v>31501.970702999999</v>
      </c>
      <c r="C796">
        <f t="shared" si="17"/>
        <v>10.357805384856803</v>
      </c>
    </row>
    <row r="797" spans="1:3" x14ac:dyDescent="0.3">
      <c r="A797" s="1">
        <v>43178</v>
      </c>
      <c r="B797">
        <v>31513.759765999999</v>
      </c>
      <c r="C797">
        <f t="shared" si="17"/>
        <v>10.358179547404784</v>
      </c>
    </row>
    <row r="798" spans="1:3" x14ac:dyDescent="0.3">
      <c r="A798" s="1">
        <v>43179</v>
      </c>
      <c r="B798">
        <v>31549.929688</v>
      </c>
      <c r="C798">
        <f t="shared" si="17"/>
        <v>10.359326639377336</v>
      </c>
    </row>
    <row r="799" spans="1:3" x14ac:dyDescent="0.3">
      <c r="A799" s="1">
        <v>43180</v>
      </c>
      <c r="B799">
        <v>31414.519531000002</v>
      </c>
      <c r="C799">
        <f t="shared" si="17"/>
        <v>10.355025470465751</v>
      </c>
    </row>
    <row r="800" spans="1:3" x14ac:dyDescent="0.3">
      <c r="A800" s="1">
        <v>43181</v>
      </c>
      <c r="B800">
        <v>31071.050781000002</v>
      </c>
      <c r="C800">
        <f t="shared" si="17"/>
        <v>10.34403182160923</v>
      </c>
    </row>
    <row r="801" spans="1:3" x14ac:dyDescent="0.3">
      <c r="A801" s="1">
        <v>43182</v>
      </c>
      <c r="B801">
        <v>30309.289063</v>
      </c>
      <c r="C801">
        <f t="shared" si="17"/>
        <v>10.319209514250534</v>
      </c>
    </row>
    <row r="802" spans="1:3" x14ac:dyDescent="0.3">
      <c r="A802" s="1">
        <v>43185</v>
      </c>
      <c r="B802">
        <v>30548.769531000002</v>
      </c>
      <c r="C802">
        <f t="shared" si="17"/>
        <v>10.327079686570917</v>
      </c>
    </row>
    <row r="803" spans="1:3" x14ac:dyDescent="0.3">
      <c r="A803" s="1">
        <v>43186</v>
      </c>
      <c r="B803">
        <v>30790.830077999999</v>
      </c>
      <c r="C803">
        <f t="shared" si="17"/>
        <v>10.334972199892597</v>
      </c>
    </row>
    <row r="804" spans="1:3" x14ac:dyDescent="0.3">
      <c r="A804" s="1">
        <v>43187</v>
      </c>
      <c r="B804">
        <v>30022.529297000001</v>
      </c>
      <c r="C804">
        <f t="shared" si="17"/>
        <v>10.309703355369153</v>
      </c>
    </row>
    <row r="805" spans="1:3" x14ac:dyDescent="0.3">
      <c r="A805" s="1">
        <v>43188</v>
      </c>
      <c r="B805">
        <v>30093.380859000001</v>
      </c>
      <c r="C805">
        <f t="shared" si="17"/>
        <v>10.312060521537703</v>
      </c>
    </row>
    <row r="806" spans="1:3" x14ac:dyDescent="0.3">
      <c r="A806" s="1">
        <v>43193</v>
      </c>
      <c r="B806">
        <v>30180.099609000001</v>
      </c>
      <c r="C806">
        <f t="shared" si="17"/>
        <v>10.31493803281341</v>
      </c>
    </row>
    <row r="807" spans="1:3" x14ac:dyDescent="0.3">
      <c r="A807" s="1">
        <v>43194</v>
      </c>
      <c r="B807">
        <v>29518.689452999999</v>
      </c>
      <c r="C807">
        <f t="shared" si="17"/>
        <v>10.292778882505335</v>
      </c>
    </row>
    <row r="808" spans="1:3" x14ac:dyDescent="0.3">
      <c r="A808" s="1">
        <v>43196</v>
      </c>
      <c r="B808">
        <v>29844.939452999999</v>
      </c>
      <c r="C808">
        <f t="shared" si="17"/>
        <v>10.303770571885664</v>
      </c>
    </row>
    <row r="809" spans="1:3" x14ac:dyDescent="0.3">
      <c r="A809" s="1">
        <v>43199</v>
      </c>
      <c r="B809">
        <v>30229.580077999999</v>
      </c>
      <c r="C809">
        <f t="shared" si="17"/>
        <v>10.316576196773948</v>
      </c>
    </row>
    <row r="810" spans="1:3" x14ac:dyDescent="0.3">
      <c r="A810" s="1">
        <v>43200</v>
      </c>
      <c r="B810">
        <v>30728.740234000001</v>
      </c>
      <c r="C810">
        <f t="shared" si="17"/>
        <v>10.332953659621031</v>
      </c>
    </row>
    <row r="811" spans="1:3" x14ac:dyDescent="0.3">
      <c r="A811" s="1">
        <v>43201</v>
      </c>
      <c r="B811">
        <v>30897.710938</v>
      </c>
      <c r="C811">
        <f t="shared" si="17"/>
        <v>10.338437380465427</v>
      </c>
    </row>
    <row r="812" spans="1:3" x14ac:dyDescent="0.3">
      <c r="A812" s="1">
        <v>43202</v>
      </c>
      <c r="B812">
        <v>30831.279297000001</v>
      </c>
      <c r="C812">
        <f t="shared" si="17"/>
        <v>10.336285015218776</v>
      </c>
    </row>
    <row r="813" spans="1:3" x14ac:dyDescent="0.3">
      <c r="A813" s="1">
        <v>43203</v>
      </c>
      <c r="B813">
        <v>30808.380859000001</v>
      </c>
      <c r="C813">
        <f t="shared" si="17"/>
        <v>10.335542037759282</v>
      </c>
    </row>
    <row r="814" spans="1:3" x14ac:dyDescent="0.3">
      <c r="A814" s="1">
        <v>43206</v>
      </c>
      <c r="B814">
        <v>30315.589843999998</v>
      </c>
      <c r="C814">
        <f t="shared" si="17"/>
        <v>10.319417375482962</v>
      </c>
    </row>
    <row r="815" spans="1:3" x14ac:dyDescent="0.3">
      <c r="A815" s="1">
        <v>43207</v>
      </c>
      <c r="B815">
        <v>30062.75</v>
      </c>
      <c r="C815">
        <f t="shared" si="17"/>
        <v>10.311042142821854</v>
      </c>
    </row>
    <row r="816" spans="1:3" x14ac:dyDescent="0.3">
      <c r="A816" s="1">
        <v>43208</v>
      </c>
      <c r="B816">
        <v>30284.25</v>
      </c>
      <c r="C816">
        <f t="shared" si="17"/>
        <v>10.318383054373379</v>
      </c>
    </row>
    <row r="817" spans="1:3" x14ac:dyDescent="0.3">
      <c r="A817" s="1">
        <v>43209</v>
      </c>
      <c r="B817">
        <v>30708.439452999999</v>
      </c>
      <c r="C817">
        <f t="shared" si="17"/>
        <v>10.332292796546186</v>
      </c>
    </row>
    <row r="818" spans="1:3" x14ac:dyDescent="0.3">
      <c r="A818" s="1">
        <v>43210</v>
      </c>
      <c r="B818">
        <v>30418.330077999999</v>
      </c>
      <c r="C818">
        <f t="shared" si="17"/>
        <v>10.322800668777212</v>
      </c>
    </row>
    <row r="819" spans="1:3" x14ac:dyDescent="0.3">
      <c r="A819" s="1">
        <v>43213</v>
      </c>
      <c r="B819">
        <v>30254.400390999999</v>
      </c>
      <c r="C819">
        <f t="shared" si="17"/>
        <v>10.317396920350696</v>
      </c>
    </row>
    <row r="820" spans="1:3" x14ac:dyDescent="0.3">
      <c r="A820" s="1">
        <v>43214</v>
      </c>
      <c r="B820">
        <v>30636.240234000001</v>
      </c>
      <c r="C820">
        <f t="shared" si="17"/>
        <v>10.32993890855769</v>
      </c>
    </row>
    <row r="821" spans="1:3" x14ac:dyDescent="0.3">
      <c r="A821" s="1">
        <v>43215</v>
      </c>
      <c r="B821">
        <v>30328.150390999999</v>
      </c>
      <c r="C821">
        <f t="shared" si="17"/>
        <v>10.31983161600081</v>
      </c>
    </row>
    <row r="822" spans="1:3" x14ac:dyDescent="0.3">
      <c r="A822" s="1">
        <v>43216</v>
      </c>
      <c r="B822">
        <v>30007.679688</v>
      </c>
      <c r="C822">
        <f t="shared" si="17"/>
        <v>10.309208617484545</v>
      </c>
    </row>
    <row r="823" spans="1:3" x14ac:dyDescent="0.3">
      <c r="A823" s="1">
        <v>43217</v>
      </c>
      <c r="B823">
        <v>30280.669922000001</v>
      </c>
      <c r="C823">
        <f t="shared" si="17"/>
        <v>10.31826483154707</v>
      </c>
    </row>
    <row r="824" spans="1:3" x14ac:dyDescent="0.3">
      <c r="A824" s="1">
        <v>43220</v>
      </c>
      <c r="B824">
        <v>30808.449218999998</v>
      </c>
      <c r="C824">
        <f t="shared" si="17"/>
        <v>10.33554425663357</v>
      </c>
    </row>
    <row r="825" spans="1:3" x14ac:dyDescent="0.3">
      <c r="A825" s="1">
        <v>43222</v>
      </c>
      <c r="B825">
        <v>30723.880859000001</v>
      </c>
      <c r="C825">
        <f t="shared" si="17"/>
        <v>10.332795509328212</v>
      </c>
    </row>
    <row r="826" spans="1:3" x14ac:dyDescent="0.3">
      <c r="A826" s="1">
        <v>43223</v>
      </c>
      <c r="B826">
        <v>30313.369140999999</v>
      </c>
      <c r="C826">
        <f t="shared" si="17"/>
        <v>10.319344119961569</v>
      </c>
    </row>
    <row r="827" spans="1:3" x14ac:dyDescent="0.3">
      <c r="A827" s="1">
        <v>43224</v>
      </c>
      <c r="B827">
        <v>29926.5</v>
      </c>
      <c r="C827">
        <f t="shared" si="17"/>
        <v>10.306499654483225</v>
      </c>
    </row>
    <row r="828" spans="1:3" x14ac:dyDescent="0.3">
      <c r="A828" s="1">
        <v>43227</v>
      </c>
      <c r="B828">
        <v>29994.259765999999</v>
      </c>
      <c r="C828">
        <f t="shared" si="17"/>
        <v>10.308761301202908</v>
      </c>
    </row>
    <row r="829" spans="1:3" x14ac:dyDescent="0.3">
      <c r="A829" s="1">
        <v>43228</v>
      </c>
      <c r="B829">
        <v>30402.810547000001</v>
      </c>
      <c r="C829">
        <f t="shared" si="17"/>
        <v>10.322290335324819</v>
      </c>
    </row>
    <row r="830" spans="1:3" x14ac:dyDescent="0.3">
      <c r="A830" s="1">
        <v>43229</v>
      </c>
      <c r="B830">
        <v>30536.140625</v>
      </c>
      <c r="C830">
        <f t="shared" si="17"/>
        <v>10.326666199634531</v>
      </c>
    </row>
    <row r="831" spans="1:3" x14ac:dyDescent="0.3">
      <c r="A831" s="1">
        <v>43230</v>
      </c>
      <c r="B831">
        <v>30809.220702999999</v>
      </c>
      <c r="C831">
        <f t="shared" si="17"/>
        <v>10.335569297632395</v>
      </c>
    </row>
    <row r="832" spans="1:3" x14ac:dyDescent="0.3">
      <c r="A832" s="1">
        <v>43231</v>
      </c>
      <c r="B832">
        <v>31122.060547000001</v>
      </c>
      <c r="C832">
        <f t="shared" si="17"/>
        <v>10.345672189050219</v>
      </c>
    </row>
    <row r="833" spans="1:3" x14ac:dyDescent="0.3">
      <c r="A833" s="1">
        <v>43234</v>
      </c>
      <c r="B833">
        <v>31541.080077999999</v>
      </c>
      <c r="C833">
        <f t="shared" si="17"/>
        <v>10.35904610463583</v>
      </c>
    </row>
    <row r="834" spans="1:3" x14ac:dyDescent="0.3">
      <c r="A834" s="1">
        <v>43235</v>
      </c>
      <c r="B834">
        <v>31152.029297000001</v>
      </c>
      <c r="C834">
        <f t="shared" si="17"/>
        <v>10.3466346680648</v>
      </c>
    </row>
    <row r="835" spans="1:3" x14ac:dyDescent="0.3">
      <c r="A835" s="1">
        <v>43236</v>
      </c>
      <c r="B835">
        <v>31110.199218999998</v>
      </c>
      <c r="C835">
        <f t="shared" si="17"/>
        <v>10.34529099356774</v>
      </c>
    </row>
    <row r="836" spans="1:3" x14ac:dyDescent="0.3">
      <c r="A836" s="1">
        <v>43237</v>
      </c>
      <c r="B836">
        <v>30942.150390999999</v>
      </c>
      <c r="C836">
        <f t="shared" si="17"/>
        <v>10.339874623683464</v>
      </c>
    </row>
    <row r="837" spans="1:3" x14ac:dyDescent="0.3">
      <c r="A837" s="1">
        <v>43238</v>
      </c>
      <c r="B837">
        <v>31047.910156000002</v>
      </c>
      <c r="C837">
        <f t="shared" si="17"/>
        <v>10.343286779331596</v>
      </c>
    </row>
    <row r="838" spans="1:3" x14ac:dyDescent="0.3">
      <c r="A838" s="1">
        <v>43241</v>
      </c>
      <c r="B838">
        <v>31234.349609000001</v>
      </c>
      <c r="C838">
        <f t="shared" si="17"/>
        <v>10.349273717204076</v>
      </c>
    </row>
    <row r="839" spans="1:3" x14ac:dyDescent="0.3">
      <c r="A839" s="1">
        <v>43243</v>
      </c>
      <c r="B839">
        <v>30665.640625</v>
      </c>
      <c r="C839">
        <f t="shared" ref="C839:C902" si="18">LN(B839)</f>
        <v>10.330898108922906</v>
      </c>
    </row>
    <row r="840" spans="1:3" x14ac:dyDescent="0.3">
      <c r="A840" s="1">
        <v>43244</v>
      </c>
      <c r="B840">
        <v>30760.410156000002</v>
      </c>
      <c r="C840">
        <f t="shared" si="18"/>
        <v>10.333983757600903</v>
      </c>
    </row>
    <row r="841" spans="1:3" x14ac:dyDescent="0.3">
      <c r="A841" s="1">
        <v>43245</v>
      </c>
      <c r="B841">
        <v>30588.039063</v>
      </c>
      <c r="C841">
        <f t="shared" si="18"/>
        <v>10.32836433123274</v>
      </c>
    </row>
    <row r="842" spans="1:3" x14ac:dyDescent="0.3">
      <c r="A842" s="1">
        <v>43248</v>
      </c>
      <c r="B842">
        <v>30792.259765999999</v>
      </c>
      <c r="C842">
        <f t="shared" si="18"/>
        <v>10.335018631080246</v>
      </c>
    </row>
    <row r="843" spans="1:3" x14ac:dyDescent="0.3">
      <c r="A843" s="1">
        <v>43249</v>
      </c>
      <c r="B843">
        <v>30484.580077999999</v>
      </c>
      <c r="C843">
        <f t="shared" si="18"/>
        <v>10.32497626353817</v>
      </c>
    </row>
    <row r="844" spans="1:3" x14ac:dyDescent="0.3">
      <c r="A844" s="1">
        <v>43250</v>
      </c>
      <c r="B844">
        <v>30056.789063</v>
      </c>
      <c r="C844">
        <f t="shared" si="18"/>
        <v>10.310843840003422</v>
      </c>
    </row>
    <row r="845" spans="1:3" x14ac:dyDescent="0.3">
      <c r="A845" s="1">
        <v>43251</v>
      </c>
      <c r="B845">
        <v>30468.560547000001</v>
      </c>
      <c r="C845">
        <f t="shared" si="18"/>
        <v>10.324450629216312</v>
      </c>
    </row>
    <row r="846" spans="1:3" x14ac:dyDescent="0.3">
      <c r="A846" s="1">
        <v>43252</v>
      </c>
      <c r="B846">
        <v>30492.910156000002</v>
      </c>
      <c r="C846">
        <f t="shared" si="18"/>
        <v>10.325249481672268</v>
      </c>
    </row>
    <row r="847" spans="1:3" x14ac:dyDescent="0.3">
      <c r="A847" s="1">
        <v>43255</v>
      </c>
      <c r="B847">
        <v>30997.980468999998</v>
      </c>
      <c r="C847">
        <f t="shared" si="18"/>
        <v>10.34167733518389</v>
      </c>
    </row>
    <row r="848" spans="1:3" x14ac:dyDescent="0.3">
      <c r="A848" s="1">
        <v>43256</v>
      </c>
      <c r="B848">
        <v>31093.449218999998</v>
      </c>
      <c r="C848">
        <f t="shared" si="18"/>
        <v>10.344752439935421</v>
      </c>
    </row>
    <row r="849" spans="1:3" x14ac:dyDescent="0.3">
      <c r="A849" s="1">
        <v>43257</v>
      </c>
      <c r="B849">
        <v>31259.099609000001</v>
      </c>
      <c r="C849">
        <f t="shared" si="18"/>
        <v>10.3500658002657</v>
      </c>
    </row>
    <row r="850" spans="1:3" x14ac:dyDescent="0.3">
      <c r="A850" s="1">
        <v>43258</v>
      </c>
      <c r="B850">
        <v>31512.630859000001</v>
      </c>
      <c r="C850">
        <f t="shared" si="18"/>
        <v>10.358143724093662</v>
      </c>
    </row>
    <row r="851" spans="1:3" x14ac:dyDescent="0.3">
      <c r="A851" s="1">
        <v>43259</v>
      </c>
      <c r="B851">
        <v>30958.210938</v>
      </c>
      <c r="C851">
        <f t="shared" si="18"/>
        <v>10.340393539793665</v>
      </c>
    </row>
    <row r="852" spans="1:3" x14ac:dyDescent="0.3">
      <c r="A852" s="1">
        <v>43262</v>
      </c>
      <c r="B852">
        <v>31063.699218999998</v>
      </c>
      <c r="C852">
        <f t="shared" si="18"/>
        <v>10.343795188741653</v>
      </c>
    </row>
    <row r="853" spans="1:3" x14ac:dyDescent="0.3">
      <c r="A853" s="1">
        <v>43263</v>
      </c>
      <c r="B853">
        <v>31103.060547000001</v>
      </c>
      <c r="C853">
        <f t="shared" si="18"/>
        <v>10.345061503196774</v>
      </c>
    </row>
    <row r="854" spans="1:3" x14ac:dyDescent="0.3">
      <c r="A854" s="1">
        <v>43264</v>
      </c>
      <c r="B854">
        <v>30725.150390999999</v>
      </c>
      <c r="C854">
        <f t="shared" si="18"/>
        <v>10.33283682916595</v>
      </c>
    </row>
    <row r="855" spans="1:3" x14ac:dyDescent="0.3">
      <c r="A855" s="1">
        <v>43265</v>
      </c>
      <c r="B855">
        <v>30440.169922000001</v>
      </c>
      <c r="C855">
        <f t="shared" si="18"/>
        <v>10.323518394154522</v>
      </c>
    </row>
    <row r="856" spans="1:3" x14ac:dyDescent="0.3">
      <c r="A856" s="1">
        <v>43266</v>
      </c>
      <c r="B856">
        <v>30309.490234000001</v>
      </c>
      <c r="C856">
        <f t="shared" si="18"/>
        <v>10.319216151500653</v>
      </c>
    </row>
    <row r="857" spans="1:3" x14ac:dyDescent="0.3">
      <c r="A857" s="1">
        <v>43270</v>
      </c>
      <c r="B857">
        <v>29468.150390999999</v>
      </c>
      <c r="C857">
        <f t="shared" si="18"/>
        <v>10.29106531132572</v>
      </c>
    </row>
    <row r="858" spans="1:3" x14ac:dyDescent="0.3">
      <c r="A858" s="1">
        <v>43271</v>
      </c>
      <c r="B858">
        <v>29696.169922000001</v>
      </c>
      <c r="C858">
        <f t="shared" si="18"/>
        <v>10.298773357619664</v>
      </c>
    </row>
    <row r="859" spans="1:3" x14ac:dyDescent="0.3">
      <c r="A859" s="1">
        <v>43272</v>
      </c>
      <c r="B859">
        <v>29296.050781000002</v>
      </c>
      <c r="C859">
        <f t="shared" si="18"/>
        <v>10.28520800028936</v>
      </c>
    </row>
    <row r="860" spans="1:3" x14ac:dyDescent="0.3">
      <c r="A860" s="1">
        <v>43273</v>
      </c>
      <c r="B860">
        <v>29338.699218999998</v>
      </c>
      <c r="C860">
        <f t="shared" si="18"/>
        <v>10.286662715983416</v>
      </c>
    </row>
    <row r="861" spans="1:3" x14ac:dyDescent="0.3">
      <c r="A861" s="1">
        <v>43276</v>
      </c>
      <c r="B861">
        <v>28961.390625</v>
      </c>
      <c r="C861">
        <f t="shared" si="18"/>
        <v>10.273718864165847</v>
      </c>
    </row>
    <row r="862" spans="1:3" x14ac:dyDescent="0.3">
      <c r="A862" s="1">
        <v>43277</v>
      </c>
      <c r="B862">
        <v>28881.400390999999</v>
      </c>
      <c r="C862">
        <f t="shared" si="18"/>
        <v>10.270953081824235</v>
      </c>
    </row>
    <row r="863" spans="1:3" x14ac:dyDescent="0.3">
      <c r="A863" s="1">
        <v>43278</v>
      </c>
      <c r="B863">
        <v>28356.259765999999</v>
      </c>
      <c r="C863">
        <f t="shared" si="18"/>
        <v>10.252603087816006</v>
      </c>
    </row>
    <row r="864" spans="1:3" x14ac:dyDescent="0.3">
      <c r="A864" s="1">
        <v>43279</v>
      </c>
      <c r="B864">
        <v>28497.320313</v>
      </c>
      <c r="C864">
        <f t="shared" si="18"/>
        <v>10.257565337730936</v>
      </c>
    </row>
    <row r="865" spans="1:3" x14ac:dyDescent="0.3">
      <c r="A865" s="1">
        <v>43280</v>
      </c>
      <c r="B865">
        <v>28955.109375</v>
      </c>
      <c r="C865">
        <f t="shared" si="18"/>
        <v>10.273501957065983</v>
      </c>
    </row>
    <row r="866" spans="1:3" x14ac:dyDescent="0.3">
      <c r="A866" s="1">
        <v>43284</v>
      </c>
      <c r="B866">
        <v>28545.570313</v>
      </c>
      <c r="C866">
        <f t="shared" si="18"/>
        <v>10.259257047634751</v>
      </c>
    </row>
    <row r="867" spans="1:3" x14ac:dyDescent="0.3">
      <c r="A867" s="1">
        <v>43285</v>
      </c>
      <c r="B867">
        <v>28241.669922000001</v>
      </c>
      <c r="C867">
        <f t="shared" si="18"/>
        <v>10.248553823074177</v>
      </c>
    </row>
    <row r="868" spans="1:3" x14ac:dyDescent="0.3">
      <c r="A868" s="1">
        <v>43286</v>
      </c>
      <c r="B868">
        <v>28182.089843999998</v>
      </c>
      <c r="C868">
        <f t="shared" si="18"/>
        <v>10.246441943242305</v>
      </c>
    </row>
    <row r="869" spans="1:3" x14ac:dyDescent="0.3">
      <c r="A869" s="1">
        <v>43287</v>
      </c>
      <c r="B869">
        <v>28315.619140999999</v>
      </c>
      <c r="C869">
        <f t="shared" si="18"/>
        <v>10.251168844492845</v>
      </c>
    </row>
    <row r="870" spans="1:3" x14ac:dyDescent="0.3">
      <c r="A870" s="1">
        <v>43290</v>
      </c>
      <c r="B870">
        <v>28688.5</v>
      </c>
      <c r="C870">
        <f t="shared" si="18"/>
        <v>10.264251624583162</v>
      </c>
    </row>
    <row r="871" spans="1:3" x14ac:dyDescent="0.3">
      <c r="A871" s="1">
        <v>43291</v>
      </c>
      <c r="B871">
        <v>28682.25</v>
      </c>
      <c r="C871">
        <f t="shared" si="18"/>
        <v>10.264033743519214</v>
      </c>
    </row>
    <row r="872" spans="1:3" x14ac:dyDescent="0.3">
      <c r="A872" s="1">
        <v>43292</v>
      </c>
      <c r="B872">
        <v>28311.689452999999</v>
      </c>
      <c r="C872">
        <f t="shared" si="18"/>
        <v>10.251030053223973</v>
      </c>
    </row>
    <row r="873" spans="1:3" x14ac:dyDescent="0.3">
      <c r="A873" s="1">
        <v>43293</v>
      </c>
      <c r="B873">
        <v>28480.830077999999</v>
      </c>
      <c r="C873">
        <f t="shared" si="18"/>
        <v>10.256986511098367</v>
      </c>
    </row>
    <row r="874" spans="1:3" x14ac:dyDescent="0.3">
      <c r="A874" s="1">
        <v>43294</v>
      </c>
      <c r="B874">
        <v>28525.439452999999</v>
      </c>
      <c r="C874">
        <f t="shared" si="18"/>
        <v>10.258551580501177</v>
      </c>
    </row>
    <row r="875" spans="1:3" x14ac:dyDescent="0.3">
      <c r="A875" s="1">
        <v>43297</v>
      </c>
      <c r="B875">
        <v>28539.660156000002</v>
      </c>
      <c r="C875">
        <f t="shared" si="18"/>
        <v>10.259049983321528</v>
      </c>
    </row>
    <row r="876" spans="1:3" x14ac:dyDescent="0.3">
      <c r="A876" s="1">
        <v>43298</v>
      </c>
      <c r="B876">
        <v>28181.679688</v>
      </c>
      <c r="C876">
        <f t="shared" si="18"/>
        <v>10.246427389354109</v>
      </c>
    </row>
    <row r="877" spans="1:3" x14ac:dyDescent="0.3">
      <c r="A877" s="1">
        <v>43299</v>
      </c>
      <c r="B877">
        <v>28117.419922000001</v>
      </c>
      <c r="C877">
        <f t="shared" si="18"/>
        <v>10.244144589296884</v>
      </c>
    </row>
    <row r="878" spans="1:3" x14ac:dyDescent="0.3">
      <c r="A878" s="1">
        <v>43300</v>
      </c>
      <c r="B878">
        <v>28010.859375</v>
      </c>
      <c r="C878">
        <f t="shared" si="18"/>
        <v>10.240347548790284</v>
      </c>
    </row>
    <row r="879" spans="1:3" x14ac:dyDescent="0.3">
      <c r="A879" s="1">
        <v>43301</v>
      </c>
      <c r="B879">
        <v>28224.480468999998</v>
      </c>
      <c r="C879">
        <f t="shared" si="18"/>
        <v>10.247944982081405</v>
      </c>
    </row>
    <row r="880" spans="1:3" x14ac:dyDescent="0.3">
      <c r="A880" s="1">
        <v>43304</v>
      </c>
      <c r="B880">
        <v>28256.119140999999</v>
      </c>
      <c r="C880">
        <f t="shared" si="18"/>
        <v>10.249065319879792</v>
      </c>
    </row>
    <row r="881" spans="1:3" x14ac:dyDescent="0.3">
      <c r="A881" s="1">
        <v>43305</v>
      </c>
      <c r="B881">
        <v>28662.570313</v>
      </c>
      <c r="C881">
        <f t="shared" si="18"/>
        <v>10.26334738029878</v>
      </c>
    </row>
    <row r="882" spans="1:3" x14ac:dyDescent="0.3">
      <c r="A882" s="1">
        <v>43306</v>
      </c>
      <c r="B882">
        <v>28920.900390999999</v>
      </c>
      <c r="C882">
        <f t="shared" si="18"/>
        <v>10.272319809640058</v>
      </c>
    </row>
    <row r="883" spans="1:3" x14ac:dyDescent="0.3">
      <c r="A883" s="1">
        <v>43307</v>
      </c>
      <c r="B883">
        <v>28781.140625</v>
      </c>
      <c r="C883">
        <f t="shared" si="18"/>
        <v>10.267475612213341</v>
      </c>
    </row>
    <row r="884" spans="1:3" x14ac:dyDescent="0.3">
      <c r="A884" s="1">
        <v>43308</v>
      </c>
      <c r="B884">
        <v>28804.279297000001</v>
      </c>
      <c r="C884">
        <f t="shared" si="18"/>
        <v>10.268279241787516</v>
      </c>
    </row>
    <row r="885" spans="1:3" x14ac:dyDescent="0.3">
      <c r="A885" s="1">
        <v>43311</v>
      </c>
      <c r="B885">
        <v>28733.130859000001</v>
      </c>
      <c r="C885">
        <f t="shared" si="18"/>
        <v>10.265806121288314</v>
      </c>
    </row>
    <row r="886" spans="1:3" x14ac:dyDescent="0.3">
      <c r="A886" s="1">
        <v>43312</v>
      </c>
      <c r="B886">
        <v>28583.009765999999</v>
      </c>
      <c r="C886">
        <f t="shared" si="18"/>
        <v>10.260567756156062</v>
      </c>
    </row>
    <row r="887" spans="1:3" x14ac:dyDescent="0.3">
      <c r="A887" s="1">
        <v>43313</v>
      </c>
      <c r="B887">
        <v>28340.740234000001</v>
      </c>
      <c r="C887">
        <f t="shared" si="18"/>
        <v>10.252055632663613</v>
      </c>
    </row>
    <row r="888" spans="1:3" x14ac:dyDescent="0.3">
      <c r="A888" s="1">
        <v>43314</v>
      </c>
      <c r="B888">
        <v>27714.560547000001</v>
      </c>
      <c r="C888">
        <f t="shared" si="18"/>
        <v>10.229713205585313</v>
      </c>
    </row>
    <row r="889" spans="1:3" x14ac:dyDescent="0.3">
      <c r="A889" s="1">
        <v>43315</v>
      </c>
      <c r="B889">
        <v>27676.320313</v>
      </c>
      <c r="C889">
        <f t="shared" si="18"/>
        <v>10.228332464225669</v>
      </c>
    </row>
    <row r="890" spans="1:3" x14ac:dyDescent="0.3">
      <c r="A890" s="1">
        <v>43318</v>
      </c>
      <c r="B890">
        <v>27819.560547000001</v>
      </c>
      <c r="C890">
        <f t="shared" si="18"/>
        <v>10.233494669055043</v>
      </c>
    </row>
    <row r="891" spans="1:3" x14ac:dyDescent="0.3">
      <c r="A891" s="1">
        <v>43319</v>
      </c>
      <c r="B891">
        <v>28248.880859000001</v>
      </c>
      <c r="C891">
        <f t="shared" si="18"/>
        <v>10.248809120179249</v>
      </c>
    </row>
    <row r="892" spans="1:3" x14ac:dyDescent="0.3">
      <c r="A892" s="1">
        <v>43320</v>
      </c>
      <c r="B892">
        <v>28359.140625</v>
      </c>
      <c r="C892">
        <f t="shared" si="18"/>
        <v>10.252704677824456</v>
      </c>
    </row>
    <row r="893" spans="1:3" x14ac:dyDescent="0.3">
      <c r="A893" s="1">
        <v>43321</v>
      </c>
      <c r="B893">
        <v>28607.300781000002</v>
      </c>
      <c r="C893">
        <f t="shared" si="18"/>
        <v>10.261417236294513</v>
      </c>
    </row>
    <row r="894" spans="1:3" x14ac:dyDescent="0.3">
      <c r="A894" s="1">
        <v>43322</v>
      </c>
      <c r="B894">
        <v>28366.619140999999</v>
      </c>
      <c r="C894">
        <f t="shared" si="18"/>
        <v>10.252968350486547</v>
      </c>
    </row>
    <row r="895" spans="1:3" x14ac:dyDescent="0.3">
      <c r="A895" s="1">
        <v>43325</v>
      </c>
      <c r="B895">
        <v>27936.570313</v>
      </c>
      <c r="C895">
        <f t="shared" si="18"/>
        <v>10.237691873415196</v>
      </c>
    </row>
    <row r="896" spans="1:3" x14ac:dyDescent="0.3">
      <c r="A896" s="1">
        <v>43326</v>
      </c>
      <c r="B896">
        <v>27752.929688</v>
      </c>
      <c r="C896">
        <f t="shared" si="18"/>
        <v>10.231096687944344</v>
      </c>
    </row>
    <row r="897" spans="1:3" x14ac:dyDescent="0.3">
      <c r="A897" s="1">
        <v>43327</v>
      </c>
      <c r="B897">
        <v>27323.589843999998</v>
      </c>
      <c r="C897">
        <f t="shared" si="18"/>
        <v>10.215505704906109</v>
      </c>
    </row>
    <row r="898" spans="1:3" x14ac:dyDescent="0.3">
      <c r="A898" s="1">
        <v>43328</v>
      </c>
      <c r="B898">
        <v>27100.060547000001</v>
      </c>
      <c r="C898">
        <f t="shared" si="18"/>
        <v>10.207291241071939</v>
      </c>
    </row>
    <row r="899" spans="1:3" x14ac:dyDescent="0.3">
      <c r="A899" s="1">
        <v>43329</v>
      </c>
      <c r="B899">
        <v>27213.410156000002</v>
      </c>
      <c r="C899">
        <f t="shared" si="18"/>
        <v>10.21146515123062</v>
      </c>
    </row>
    <row r="900" spans="1:3" x14ac:dyDescent="0.3">
      <c r="A900" s="1">
        <v>43332</v>
      </c>
      <c r="B900">
        <v>27598.019531000002</v>
      </c>
      <c r="C900">
        <f t="shared" si="18"/>
        <v>10.225499293007459</v>
      </c>
    </row>
    <row r="901" spans="1:3" x14ac:dyDescent="0.3">
      <c r="A901" s="1">
        <v>43333</v>
      </c>
      <c r="B901">
        <v>27752.789063</v>
      </c>
      <c r="C901">
        <f t="shared" si="18"/>
        <v>10.231091620898887</v>
      </c>
    </row>
    <row r="902" spans="1:3" x14ac:dyDescent="0.3">
      <c r="A902" s="1">
        <v>43334</v>
      </c>
      <c r="B902">
        <v>27927.580077999999</v>
      </c>
      <c r="C902">
        <f t="shared" si="18"/>
        <v>10.23737001279386</v>
      </c>
    </row>
    <row r="903" spans="1:3" x14ac:dyDescent="0.3">
      <c r="A903" s="1">
        <v>43335</v>
      </c>
      <c r="B903">
        <v>27790.460938</v>
      </c>
      <c r="C903">
        <f t="shared" ref="C903:C966" si="19">LN(B903)</f>
        <v>10.232448109068949</v>
      </c>
    </row>
    <row r="904" spans="1:3" x14ac:dyDescent="0.3">
      <c r="A904" s="1">
        <v>43336</v>
      </c>
      <c r="B904">
        <v>27671.869140999999</v>
      </c>
      <c r="C904">
        <f t="shared" si="19"/>
        <v>10.228171621674051</v>
      </c>
    </row>
    <row r="905" spans="1:3" x14ac:dyDescent="0.3">
      <c r="A905" s="1">
        <v>43339</v>
      </c>
      <c r="B905">
        <v>28271.269531000002</v>
      </c>
      <c r="C905">
        <f t="shared" si="19"/>
        <v>10.249601357036953</v>
      </c>
    </row>
    <row r="906" spans="1:3" x14ac:dyDescent="0.3">
      <c r="A906" s="1">
        <v>43340</v>
      </c>
      <c r="B906">
        <v>28351.619140999999</v>
      </c>
      <c r="C906">
        <f t="shared" si="19"/>
        <v>10.252439420082357</v>
      </c>
    </row>
    <row r="907" spans="1:3" x14ac:dyDescent="0.3">
      <c r="A907" s="1">
        <v>43341</v>
      </c>
      <c r="B907">
        <v>28416.439452999999</v>
      </c>
      <c r="C907">
        <f t="shared" si="19"/>
        <v>10.254723110656832</v>
      </c>
    </row>
    <row r="908" spans="1:3" x14ac:dyDescent="0.3">
      <c r="A908" s="1">
        <v>43342</v>
      </c>
      <c r="B908">
        <v>28164.050781000002</v>
      </c>
      <c r="C908">
        <f t="shared" si="19"/>
        <v>10.245801648683841</v>
      </c>
    </row>
    <row r="909" spans="1:3" x14ac:dyDescent="0.3">
      <c r="A909" s="1">
        <v>43343</v>
      </c>
      <c r="B909">
        <v>27888.550781000002</v>
      </c>
      <c r="C909">
        <f t="shared" si="19"/>
        <v>10.235971517313775</v>
      </c>
    </row>
    <row r="910" spans="1:3" x14ac:dyDescent="0.3">
      <c r="A910" s="1">
        <v>43346</v>
      </c>
      <c r="B910">
        <v>27712.539063</v>
      </c>
      <c r="C910">
        <f t="shared" si="19"/>
        <v>10.229640263504088</v>
      </c>
    </row>
    <row r="911" spans="1:3" x14ac:dyDescent="0.3">
      <c r="A911" s="1">
        <v>43347</v>
      </c>
      <c r="B911">
        <v>27973.339843999998</v>
      </c>
      <c r="C911">
        <f t="shared" si="19"/>
        <v>10.239007187147514</v>
      </c>
    </row>
    <row r="912" spans="1:3" x14ac:dyDescent="0.3">
      <c r="A912" s="1">
        <v>43348</v>
      </c>
      <c r="B912">
        <v>27243.849609000001</v>
      </c>
      <c r="C912">
        <f t="shared" si="19"/>
        <v>10.212583072194747</v>
      </c>
    </row>
    <row r="913" spans="1:3" x14ac:dyDescent="0.3">
      <c r="A913" s="1">
        <v>43349</v>
      </c>
      <c r="B913">
        <v>26974.820313</v>
      </c>
      <c r="C913">
        <f t="shared" si="19"/>
        <v>10.202659128862258</v>
      </c>
    </row>
    <row r="914" spans="1:3" x14ac:dyDescent="0.3">
      <c r="A914" s="1">
        <v>43350</v>
      </c>
      <c r="B914">
        <v>26973.470702999999</v>
      </c>
      <c r="C914">
        <f t="shared" si="19"/>
        <v>10.202609095395957</v>
      </c>
    </row>
    <row r="915" spans="1:3" x14ac:dyDescent="0.3">
      <c r="A915" s="1">
        <v>43353</v>
      </c>
      <c r="B915">
        <v>26613.419922000001</v>
      </c>
      <c r="C915">
        <f t="shared" si="19"/>
        <v>10.189170875894108</v>
      </c>
    </row>
    <row r="916" spans="1:3" x14ac:dyDescent="0.3">
      <c r="A916" s="1">
        <v>43354</v>
      </c>
      <c r="B916">
        <v>26422.550781000002</v>
      </c>
      <c r="C916">
        <f t="shared" si="19"/>
        <v>10.181973120766413</v>
      </c>
    </row>
    <row r="917" spans="1:3" x14ac:dyDescent="0.3">
      <c r="A917" s="1">
        <v>43355</v>
      </c>
      <c r="B917">
        <v>26345.039063</v>
      </c>
      <c r="C917">
        <f t="shared" si="19"/>
        <v>10.179035265390436</v>
      </c>
    </row>
    <row r="918" spans="1:3" x14ac:dyDescent="0.3">
      <c r="A918" s="1">
        <v>43356</v>
      </c>
      <c r="B918">
        <v>27014.490234000001</v>
      </c>
      <c r="C918">
        <f t="shared" si="19"/>
        <v>10.204128676361096</v>
      </c>
    </row>
    <row r="919" spans="1:3" x14ac:dyDescent="0.3">
      <c r="A919" s="1">
        <v>43357</v>
      </c>
      <c r="B919">
        <v>27286.410156000002</v>
      </c>
      <c r="C919">
        <f t="shared" si="19"/>
        <v>10.214144060747731</v>
      </c>
    </row>
    <row r="920" spans="1:3" x14ac:dyDescent="0.3">
      <c r="A920" s="1">
        <v>43360</v>
      </c>
      <c r="B920">
        <v>26932.849609000001</v>
      </c>
      <c r="C920">
        <f t="shared" si="19"/>
        <v>10.201101995617911</v>
      </c>
    </row>
    <row r="921" spans="1:3" x14ac:dyDescent="0.3">
      <c r="A921" s="1">
        <v>43361</v>
      </c>
      <c r="B921">
        <v>27084.660156000002</v>
      </c>
      <c r="C921">
        <f t="shared" si="19"/>
        <v>10.20672280069927</v>
      </c>
    </row>
    <row r="922" spans="1:3" x14ac:dyDescent="0.3">
      <c r="A922" s="1">
        <v>43362</v>
      </c>
      <c r="B922">
        <v>27407.369140999999</v>
      </c>
      <c r="C922">
        <f t="shared" si="19"/>
        <v>10.218567202968291</v>
      </c>
    </row>
    <row r="923" spans="1:3" x14ac:dyDescent="0.3">
      <c r="A923" s="1">
        <v>43363</v>
      </c>
      <c r="B923">
        <v>27477.669922000001</v>
      </c>
      <c r="C923">
        <f t="shared" si="19"/>
        <v>10.221128950965422</v>
      </c>
    </row>
    <row r="924" spans="1:3" x14ac:dyDescent="0.3">
      <c r="A924" s="1">
        <v>43364</v>
      </c>
      <c r="B924">
        <v>27953.580077999999</v>
      </c>
      <c r="C924">
        <f t="shared" si="19"/>
        <v>10.238300559038912</v>
      </c>
    </row>
    <row r="925" spans="1:3" x14ac:dyDescent="0.3">
      <c r="A925" s="1">
        <v>43367</v>
      </c>
      <c r="B925">
        <v>27499.390625</v>
      </c>
      <c r="C925">
        <f t="shared" si="19"/>
        <v>10.221919124318237</v>
      </c>
    </row>
    <row r="926" spans="1:3" x14ac:dyDescent="0.3">
      <c r="A926" s="1">
        <v>43369</v>
      </c>
      <c r="B926">
        <v>27816.869140999999</v>
      </c>
      <c r="C926">
        <f t="shared" si="19"/>
        <v>10.233397919280941</v>
      </c>
    </row>
    <row r="927" spans="1:3" x14ac:dyDescent="0.3">
      <c r="A927" s="1">
        <v>43370</v>
      </c>
      <c r="B927">
        <v>27715.669922000001</v>
      </c>
      <c r="C927">
        <f t="shared" si="19"/>
        <v>10.229753233382086</v>
      </c>
    </row>
    <row r="928" spans="1:3" x14ac:dyDescent="0.3">
      <c r="A928" s="1">
        <v>43371</v>
      </c>
      <c r="B928">
        <v>27788.519531000002</v>
      </c>
      <c r="C928">
        <f t="shared" si="19"/>
        <v>10.232378247873784</v>
      </c>
    </row>
    <row r="929" spans="1:3" x14ac:dyDescent="0.3">
      <c r="A929" s="1">
        <v>43375</v>
      </c>
      <c r="B929">
        <v>27126.380859000001</v>
      </c>
      <c r="C929">
        <f t="shared" si="19"/>
        <v>10.20826199679127</v>
      </c>
    </row>
    <row r="930" spans="1:3" x14ac:dyDescent="0.3">
      <c r="A930" s="1">
        <v>43376</v>
      </c>
      <c r="B930">
        <v>27091.259765999999</v>
      </c>
      <c r="C930">
        <f t="shared" si="19"/>
        <v>10.206966436987944</v>
      </c>
    </row>
    <row r="931" spans="1:3" x14ac:dyDescent="0.3">
      <c r="A931" s="1">
        <v>43377</v>
      </c>
      <c r="B931">
        <v>26623.869140999999</v>
      </c>
      <c r="C931">
        <f t="shared" si="19"/>
        <v>10.189563428532233</v>
      </c>
    </row>
    <row r="932" spans="1:3" x14ac:dyDescent="0.3">
      <c r="A932" s="1">
        <v>43378</v>
      </c>
      <c r="B932">
        <v>26572.570313</v>
      </c>
      <c r="C932">
        <f t="shared" si="19"/>
        <v>10.187634771485712</v>
      </c>
    </row>
    <row r="933" spans="1:3" x14ac:dyDescent="0.3">
      <c r="A933" s="1">
        <v>43381</v>
      </c>
      <c r="B933">
        <v>26202.570313</v>
      </c>
      <c r="C933">
        <f t="shared" si="19"/>
        <v>10.173612788486968</v>
      </c>
    </row>
    <row r="934" spans="1:3" x14ac:dyDescent="0.3">
      <c r="A934" s="1">
        <v>43382</v>
      </c>
      <c r="B934">
        <v>26172.910156000002</v>
      </c>
      <c r="C934">
        <f t="shared" si="19"/>
        <v>10.172480191328717</v>
      </c>
    </row>
    <row r="935" spans="1:3" x14ac:dyDescent="0.3">
      <c r="A935" s="1">
        <v>43383</v>
      </c>
      <c r="B935">
        <v>26193.070313</v>
      </c>
      <c r="C935">
        <f t="shared" si="19"/>
        <v>10.173250162894815</v>
      </c>
    </row>
    <row r="936" spans="1:3" x14ac:dyDescent="0.3">
      <c r="A936" s="1">
        <v>43384</v>
      </c>
      <c r="B936">
        <v>25266.369140999999</v>
      </c>
      <c r="C936">
        <f t="shared" si="19"/>
        <v>10.13722950747086</v>
      </c>
    </row>
    <row r="937" spans="1:3" x14ac:dyDescent="0.3">
      <c r="A937" s="1">
        <v>43385</v>
      </c>
      <c r="B937">
        <v>25801.490234000001</v>
      </c>
      <c r="C937">
        <f t="shared" si="19"/>
        <v>10.158187530249357</v>
      </c>
    </row>
    <row r="938" spans="1:3" x14ac:dyDescent="0.3">
      <c r="A938" s="1">
        <v>43388</v>
      </c>
      <c r="B938">
        <v>25445.060547000001</v>
      </c>
      <c r="C938">
        <f t="shared" si="19"/>
        <v>10.144276918544566</v>
      </c>
    </row>
    <row r="939" spans="1:3" x14ac:dyDescent="0.3">
      <c r="A939" s="1">
        <v>43389</v>
      </c>
      <c r="B939">
        <v>25462.259765999999</v>
      </c>
      <c r="C939">
        <f t="shared" si="19"/>
        <v>10.144952625674648</v>
      </c>
    </row>
    <row r="940" spans="1:3" x14ac:dyDescent="0.3">
      <c r="A940" s="1">
        <v>43391</v>
      </c>
      <c r="B940">
        <v>25454.550781000002</v>
      </c>
      <c r="C940">
        <f t="shared" si="19"/>
        <v>10.144649818606565</v>
      </c>
    </row>
    <row r="941" spans="1:3" x14ac:dyDescent="0.3">
      <c r="A941" s="1">
        <v>43392</v>
      </c>
      <c r="B941">
        <v>25561.400390999999</v>
      </c>
      <c r="C941">
        <f t="shared" si="19"/>
        <v>10.148838695370925</v>
      </c>
    </row>
    <row r="942" spans="1:3" x14ac:dyDescent="0.3">
      <c r="A942" s="1">
        <v>43395</v>
      </c>
      <c r="B942">
        <v>26153.150390999999</v>
      </c>
      <c r="C942">
        <f t="shared" si="19"/>
        <v>10.17172493607989</v>
      </c>
    </row>
    <row r="943" spans="1:3" x14ac:dyDescent="0.3">
      <c r="A943" s="1">
        <v>43396</v>
      </c>
      <c r="B943">
        <v>25346.550781000002</v>
      </c>
      <c r="C943">
        <f t="shared" si="19"/>
        <v>10.140397935895924</v>
      </c>
    </row>
    <row r="944" spans="1:3" x14ac:dyDescent="0.3">
      <c r="A944" s="1">
        <v>43397</v>
      </c>
      <c r="B944">
        <v>25249.779297000001</v>
      </c>
      <c r="C944">
        <f t="shared" si="19"/>
        <v>10.136572693952434</v>
      </c>
    </row>
    <row r="945" spans="1:3" x14ac:dyDescent="0.3">
      <c r="A945" s="1">
        <v>43398</v>
      </c>
      <c r="B945">
        <v>24994.460938</v>
      </c>
      <c r="C945">
        <f t="shared" si="19"/>
        <v>10.126409516821745</v>
      </c>
    </row>
    <row r="946" spans="1:3" x14ac:dyDescent="0.3">
      <c r="A946" s="1">
        <v>43399</v>
      </c>
      <c r="B946">
        <v>24717.630859000001</v>
      </c>
      <c r="C946">
        <f t="shared" si="19"/>
        <v>10.115272067941556</v>
      </c>
    </row>
    <row r="947" spans="1:3" x14ac:dyDescent="0.3">
      <c r="A947" s="1">
        <v>43402</v>
      </c>
      <c r="B947">
        <v>24812.039063</v>
      </c>
      <c r="C947">
        <f t="shared" si="19"/>
        <v>10.119084260450951</v>
      </c>
    </row>
    <row r="948" spans="1:3" x14ac:dyDescent="0.3">
      <c r="A948" s="1">
        <v>43403</v>
      </c>
      <c r="B948">
        <v>24585.529297000001</v>
      </c>
      <c r="C948">
        <f t="shared" si="19"/>
        <v>10.109913308880101</v>
      </c>
    </row>
    <row r="949" spans="1:3" x14ac:dyDescent="0.3">
      <c r="A949" s="1">
        <v>43404</v>
      </c>
      <c r="B949">
        <v>24979.689452999999</v>
      </c>
      <c r="C949">
        <f t="shared" si="19"/>
        <v>10.125818351776832</v>
      </c>
    </row>
    <row r="950" spans="1:3" x14ac:dyDescent="0.3">
      <c r="A950" s="1">
        <v>43405</v>
      </c>
      <c r="B950">
        <v>25416</v>
      </c>
      <c r="C950">
        <f t="shared" si="19"/>
        <v>10.143134175949353</v>
      </c>
    </row>
    <row r="951" spans="1:3" x14ac:dyDescent="0.3">
      <c r="A951" s="1">
        <v>43406</v>
      </c>
      <c r="B951">
        <v>26486.349609000001</v>
      </c>
      <c r="C951">
        <f t="shared" si="19"/>
        <v>10.184384770165707</v>
      </c>
    </row>
    <row r="952" spans="1:3" x14ac:dyDescent="0.3">
      <c r="A952" s="1">
        <v>43409</v>
      </c>
      <c r="B952">
        <v>25934.390625</v>
      </c>
      <c r="C952">
        <f t="shared" si="19"/>
        <v>10.163325190268859</v>
      </c>
    </row>
    <row r="953" spans="1:3" x14ac:dyDescent="0.3">
      <c r="A953" s="1">
        <v>43410</v>
      </c>
      <c r="B953">
        <v>26120.960938</v>
      </c>
      <c r="C953">
        <f t="shared" si="19"/>
        <v>10.170493372070471</v>
      </c>
    </row>
    <row r="954" spans="1:3" x14ac:dyDescent="0.3">
      <c r="A954" s="1">
        <v>43411</v>
      </c>
      <c r="B954">
        <v>26147.689452999999</v>
      </c>
      <c r="C954">
        <f t="shared" si="19"/>
        <v>10.171516108151462</v>
      </c>
    </row>
    <row r="955" spans="1:3" x14ac:dyDescent="0.3">
      <c r="A955" s="1">
        <v>43412</v>
      </c>
      <c r="B955">
        <v>26227.720702999999</v>
      </c>
      <c r="C955">
        <f t="shared" si="19"/>
        <v>10.174572172516379</v>
      </c>
    </row>
    <row r="956" spans="1:3" x14ac:dyDescent="0.3">
      <c r="A956" s="1">
        <v>43413</v>
      </c>
      <c r="B956">
        <v>25601.919922000001</v>
      </c>
      <c r="C956">
        <f t="shared" si="19"/>
        <v>10.150422624608648</v>
      </c>
    </row>
    <row r="957" spans="1:3" x14ac:dyDescent="0.3">
      <c r="A957" s="1">
        <v>43416</v>
      </c>
      <c r="B957">
        <v>25633.179688</v>
      </c>
      <c r="C957">
        <f t="shared" si="19"/>
        <v>10.151642872841473</v>
      </c>
    </row>
    <row r="958" spans="1:3" x14ac:dyDescent="0.3">
      <c r="A958" s="1">
        <v>43417</v>
      </c>
      <c r="B958">
        <v>25792.869140999999</v>
      </c>
      <c r="C958">
        <f t="shared" si="19"/>
        <v>10.157853342823264</v>
      </c>
    </row>
    <row r="959" spans="1:3" x14ac:dyDescent="0.3">
      <c r="A959" s="1">
        <v>43418</v>
      </c>
      <c r="B959">
        <v>25654.429688</v>
      </c>
      <c r="C959">
        <f t="shared" si="19"/>
        <v>10.152471533076353</v>
      </c>
    </row>
    <row r="960" spans="1:3" x14ac:dyDescent="0.3">
      <c r="A960" s="1">
        <v>43419</v>
      </c>
      <c r="B960">
        <v>26103.339843999998</v>
      </c>
      <c r="C960">
        <f t="shared" si="19"/>
        <v>10.169818548495819</v>
      </c>
    </row>
    <row r="961" spans="1:3" x14ac:dyDescent="0.3">
      <c r="A961" s="1">
        <v>43420</v>
      </c>
      <c r="B961">
        <v>26183.529297000001</v>
      </c>
      <c r="C961">
        <f t="shared" si="19"/>
        <v>10.172885839277912</v>
      </c>
    </row>
    <row r="962" spans="1:3" x14ac:dyDescent="0.3">
      <c r="A962" s="1">
        <v>43423</v>
      </c>
      <c r="B962">
        <v>26372</v>
      </c>
      <c r="C962">
        <f t="shared" si="19"/>
        <v>10.180058120233189</v>
      </c>
    </row>
    <row r="963" spans="1:3" x14ac:dyDescent="0.3">
      <c r="A963" s="1">
        <v>43424</v>
      </c>
      <c r="B963">
        <v>25840.339843999998</v>
      </c>
      <c r="C963">
        <f t="shared" si="19"/>
        <v>10.159692109667638</v>
      </c>
    </row>
    <row r="964" spans="1:3" x14ac:dyDescent="0.3">
      <c r="A964" s="1">
        <v>43425</v>
      </c>
      <c r="B964">
        <v>25971.470702999999</v>
      </c>
      <c r="C964">
        <f t="shared" si="19"/>
        <v>10.164753933896609</v>
      </c>
    </row>
    <row r="965" spans="1:3" x14ac:dyDescent="0.3">
      <c r="A965" s="1">
        <v>43426</v>
      </c>
      <c r="B965">
        <v>26019.410156000002</v>
      </c>
      <c r="C965">
        <f t="shared" si="19"/>
        <v>10.166598082939453</v>
      </c>
    </row>
    <row r="966" spans="1:3" x14ac:dyDescent="0.3">
      <c r="A966" s="1">
        <v>43427</v>
      </c>
      <c r="B966">
        <v>25927.679688</v>
      </c>
      <c r="C966">
        <f t="shared" si="19"/>
        <v>10.163066390841957</v>
      </c>
    </row>
    <row r="967" spans="1:3" x14ac:dyDescent="0.3">
      <c r="A967" s="1">
        <v>43430</v>
      </c>
      <c r="B967">
        <v>26376.179688</v>
      </c>
      <c r="C967">
        <f t="shared" ref="C967:C1030" si="20">LN(B967)</f>
        <v>10.180216597285231</v>
      </c>
    </row>
    <row r="968" spans="1:3" x14ac:dyDescent="0.3">
      <c r="A968" s="1">
        <v>43431</v>
      </c>
      <c r="B968">
        <v>26331.960938</v>
      </c>
      <c r="C968">
        <f t="shared" si="20"/>
        <v>10.178538725144467</v>
      </c>
    </row>
    <row r="969" spans="1:3" x14ac:dyDescent="0.3">
      <c r="A969" s="1">
        <v>43432</v>
      </c>
      <c r="B969">
        <v>26682.560547000001</v>
      </c>
      <c r="C969">
        <f t="shared" si="20"/>
        <v>10.191765467950729</v>
      </c>
    </row>
    <row r="970" spans="1:3" x14ac:dyDescent="0.3">
      <c r="A970" s="1">
        <v>43433</v>
      </c>
      <c r="B970">
        <v>26451.029297000001</v>
      </c>
      <c r="C970">
        <f t="shared" si="20"/>
        <v>10.183050351349699</v>
      </c>
    </row>
    <row r="971" spans="1:3" x14ac:dyDescent="0.3">
      <c r="A971" s="1">
        <v>43434</v>
      </c>
      <c r="B971">
        <v>26506.75</v>
      </c>
      <c r="C971">
        <f t="shared" si="20"/>
        <v>10.185154696520582</v>
      </c>
    </row>
    <row r="972" spans="1:3" x14ac:dyDescent="0.3">
      <c r="A972" s="1">
        <v>43437</v>
      </c>
      <c r="B972">
        <v>27182.039063</v>
      </c>
      <c r="C972">
        <f t="shared" si="20"/>
        <v>10.210311705604981</v>
      </c>
    </row>
    <row r="973" spans="1:3" x14ac:dyDescent="0.3">
      <c r="A973" s="1">
        <v>43438</v>
      </c>
      <c r="B973">
        <v>27260.439452999999</v>
      </c>
      <c r="C973">
        <f t="shared" si="20"/>
        <v>10.213191825920292</v>
      </c>
    </row>
    <row r="974" spans="1:3" x14ac:dyDescent="0.3">
      <c r="A974" s="1">
        <v>43439</v>
      </c>
      <c r="B974">
        <v>26819.679688</v>
      </c>
      <c r="C974">
        <f t="shared" si="20"/>
        <v>10.196891213736759</v>
      </c>
    </row>
    <row r="975" spans="1:3" x14ac:dyDescent="0.3">
      <c r="A975" s="1">
        <v>43440</v>
      </c>
      <c r="B975">
        <v>26156.380859000001</v>
      </c>
      <c r="C975">
        <f t="shared" si="20"/>
        <v>10.171848449631891</v>
      </c>
    </row>
    <row r="976" spans="1:3" x14ac:dyDescent="0.3">
      <c r="A976" s="1">
        <v>43441</v>
      </c>
      <c r="B976">
        <v>26063.759765999999</v>
      </c>
      <c r="C976">
        <f t="shared" si="20"/>
        <v>10.168301113718318</v>
      </c>
    </row>
    <row r="977" spans="1:3" x14ac:dyDescent="0.3">
      <c r="A977" s="1">
        <v>43444</v>
      </c>
      <c r="B977">
        <v>25752.380859000001</v>
      </c>
      <c r="C977">
        <f t="shared" si="20"/>
        <v>10.15628236236136</v>
      </c>
    </row>
    <row r="978" spans="1:3" x14ac:dyDescent="0.3">
      <c r="A978" s="1">
        <v>43445</v>
      </c>
      <c r="B978">
        <v>25771.669922000001</v>
      </c>
      <c r="C978">
        <f t="shared" si="20"/>
        <v>10.157031102555841</v>
      </c>
    </row>
    <row r="979" spans="1:3" x14ac:dyDescent="0.3">
      <c r="A979" s="1">
        <v>43446</v>
      </c>
      <c r="B979">
        <v>26186.710938</v>
      </c>
      <c r="C979">
        <f t="shared" si="20"/>
        <v>10.173007344964715</v>
      </c>
    </row>
    <row r="980" spans="1:3" x14ac:dyDescent="0.3">
      <c r="A980" s="1">
        <v>43447</v>
      </c>
      <c r="B980">
        <v>26524.349609000001</v>
      </c>
      <c r="C980">
        <f t="shared" si="20"/>
        <v>10.185818443256967</v>
      </c>
    </row>
    <row r="981" spans="1:3" x14ac:dyDescent="0.3">
      <c r="A981" s="1">
        <v>43448</v>
      </c>
      <c r="B981">
        <v>26094.789063</v>
      </c>
      <c r="C981">
        <f t="shared" si="20"/>
        <v>10.169490920618898</v>
      </c>
    </row>
    <row r="982" spans="1:3" x14ac:dyDescent="0.3">
      <c r="A982" s="1">
        <v>43451</v>
      </c>
      <c r="B982">
        <v>26087.980468999998</v>
      </c>
      <c r="C982">
        <f t="shared" si="20"/>
        <v>10.169229968810487</v>
      </c>
    </row>
    <row r="983" spans="1:3" x14ac:dyDescent="0.3">
      <c r="A983" s="1">
        <v>43452</v>
      </c>
      <c r="B983">
        <v>25814.25</v>
      </c>
      <c r="C983">
        <f t="shared" si="20"/>
        <v>10.158681944015472</v>
      </c>
    </row>
    <row r="984" spans="1:3" x14ac:dyDescent="0.3">
      <c r="A984" s="1">
        <v>43453</v>
      </c>
      <c r="B984">
        <v>25865.390625</v>
      </c>
      <c r="C984">
        <f t="shared" si="20"/>
        <v>10.16066108477863</v>
      </c>
    </row>
    <row r="985" spans="1:3" x14ac:dyDescent="0.3">
      <c r="A985" s="1">
        <v>43454</v>
      </c>
      <c r="B985">
        <v>25623.529297000001</v>
      </c>
      <c r="C985">
        <f t="shared" si="20"/>
        <v>10.151266321505847</v>
      </c>
    </row>
    <row r="986" spans="1:3" x14ac:dyDescent="0.3">
      <c r="A986" s="1">
        <v>43455</v>
      </c>
      <c r="B986">
        <v>25753.419922000001</v>
      </c>
      <c r="C986">
        <f t="shared" si="20"/>
        <v>10.156322709777937</v>
      </c>
    </row>
    <row r="987" spans="1:3" x14ac:dyDescent="0.3">
      <c r="A987" s="1">
        <v>43458</v>
      </c>
      <c r="B987">
        <v>25651.380859000001</v>
      </c>
      <c r="C987">
        <f t="shared" si="20"/>
        <v>10.152352683808752</v>
      </c>
    </row>
    <row r="988" spans="1:3" x14ac:dyDescent="0.3">
      <c r="A988" s="1">
        <v>43461</v>
      </c>
      <c r="B988">
        <v>25478.880859000001</v>
      </c>
      <c r="C988">
        <f t="shared" si="20"/>
        <v>10.145605186390245</v>
      </c>
    </row>
    <row r="989" spans="1:3" x14ac:dyDescent="0.3">
      <c r="A989" s="1">
        <v>43462</v>
      </c>
      <c r="B989">
        <v>25504.199218999998</v>
      </c>
      <c r="C989">
        <f t="shared" si="20"/>
        <v>10.146598392843938</v>
      </c>
    </row>
    <row r="990" spans="1:3" x14ac:dyDescent="0.3">
      <c r="A990" s="1">
        <v>43465</v>
      </c>
      <c r="B990">
        <v>25845.699218999998</v>
      </c>
      <c r="C990">
        <f t="shared" si="20"/>
        <v>10.159899491588032</v>
      </c>
    </row>
    <row r="991" spans="1:3" x14ac:dyDescent="0.3">
      <c r="A991" s="1">
        <v>43467</v>
      </c>
      <c r="B991">
        <v>25130.349609000001</v>
      </c>
      <c r="C991">
        <f t="shared" si="20"/>
        <v>10.131831542458375</v>
      </c>
    </row>
    <row r="992" spans="1:3" x14ac:dyDescent="0.3">
      <c r="A992" s="1">
        <v>43468</v>
      </c>
      <c r="B992">
        <v>25064.359375</v>
      </c>
      <c r="C992">
        <f t="shared" si="20"/>
        <v>10.129202170823202</v>
      </c>
    </row>
    <row r="993" spans="1:3" x14ac:dyDescent="0.3">
      <c r="A993" s="1">
        <v>43469</v>
      </c>
      <c r="B993">
        <v>25626.029297000001</v>
      </c>
      <c r="C993">
        <f t="shared" si="20"/>
        <v>10.151363883321814</v>
      </c>
    </row>
    <row r="994" spans="1:3" x14ac:dyDescent="0.3">
      <c r="A994" s="1">
        <v>43472</v>
      </c>
      <c r="B994">
        <v>25835.699218999998</v>
      </c>
      <c r="C994">
        <f t="shared" si="20"/>
        <v>10.159512505150859</v>
      </c>
    </row>
    <row r="995" spans="1:3" x14ac:dyDescent="0.3">
      <c r="A995" s="1">
        <v>43473</v>
      </c>
      <c r="B995">
        <v>25875.449218999998</v>
      </c>
      <c r="C995">
        <f t="shared" si="20"/>
        <v>10.16104989153774</v>
      </c>
    </row>
    <row r="996" spans="1:3" x14ac:dyDescent="0.3">
      <c r="A996" s="1">
        <v>43474</v>
      </c>
      <c r="B996">
        <v>26462.320313</v>
      </c>
      <c r="C996">
        <f t="shared" si="20"/>
        <v>10.183477125169713</v>
      </c>
    </row>
    <row r="997" spans="1:3" x14ac:dyDescent="0.3">
      <c r="A997" s="1">
        <v>43475</v>
      </c>
      <c r="B997">
        <v>26521.429688</v>
      </c>
      <c r="C997">
        <f t="shared" si="20"/>
        <v>10.185708352650639</v>
      </c>
    </row>
    <row r="998" spans="1:3" x14ac:dyDescent="0.3">
      <c r="A998" s="1">
        <v>43476</v>
      </c>
      <c r="B998">
        <v>26667.269531000002</v>
      </c>
      <c r="C998">
        <f t="shared" si="20"/>
        <v>10.191192232144866</v>
      </c>
    </row>
    <row r="999" spans="1:3" x14ac:dyDescent="0.3">
      <c r="A999" s="1">
        <v>43479</v>
      </c>
      <c r="B999">
        <v>26298.330077999999</v>
      </c>
      <c r="C999">
        <f t="shared" si="20"/>
        <v>10.177260721016875</v>
      </c>
    </row>
    <row r="1000" spans="1:3" x14ac:dyDescent="0.3">
      <c r="A1000" s="1">
        <v>43480</v>
      </c>
      <c r="B1000">
        <v>26830.289063</v>
      </c>
      <c r="C1000">
        <f t="shared" si="20"/>
        <v>10.197286717234164</v>
      </c>
    </row>
    <row r="1001" spans="1:3" x14ac:dyDescent="0.3">
      <c r="A1001" s="1">
        <v>43481</v>
      </c>
      <c r="B1001">
        <v>26902.099609000001</v>
      </c>
      <c r="C1001">
        <f t="shared" si="20"/>
        <v>10.199959614923184</v>
      </c>
    </row>
    <row r="1002" spans="1:3" x14ac:dyDescent="0.3">
      <c r="A1002" s="1">
        <v>43482</v>
      </c>
      <c r="B1002">
        <v>26755.630859000001</v>
      </c>
      <c r="C1002">
        <f t="shared" si="20"/>
        <v>10.194500229574132</v>
      </c>
    </row>
    <row r="1003" spans="1:3" x14ac:dyDescent="0.3">
      <c r="A1003" s="1">
        <v>43483</v>
      </c>
      <c r="B1003">
        <v>27090.810547000001</v>
      </c>
      <c r="C1003">
        <f t="shared" si="20"/>
        <v>10.20694985515571</v>
      </c>
    </row>
    <row r="1004" spans="1:3" x14ac:dyDescent="0.3">
      <c r="A1004" s="1">
        <v>43486</v>
      </c>
      <c r="B1004">
        <v>27196.539063</v>
      </c>
      <c r="C1004">
        <f t="shared" si="20"/>
        <v>10.210845003857468</v>
      </c>
    </row>
    <row r="1005" spans="1:3" x14ac:dyDescent="0.3">
      <c r="A1005" s="1">
        <v>43487</v>
      </c>
      <c r="B1005">
        <v>27005.449218999998</v>
      </c>
      <c r="C1005">
        <f t="shared" si="20"/>
        <v>10.203793947548885</v>
      </c>
    </row>
    <row r="1006" spans="1:3" x14ac:dyDescent="0.3">
      <c r="A1006" s="1">
        <v>43488</v>
      </c>
      <c r="B1006">
        <v>27008.199218999998</v>
      </c>
      <c r="C1006">
        <f t="shared" si="20"/>
        <v>10.20389577366439</v>
      </c>
    </row>
    <row r="1007" spans="1:3" x14ac:dyDescent="0.3">
      <c r="A1007" s="1">
        <v>43489</v>
      </c>
      <c r="B1007">
        <v>27120.980468999998</v>
      </c>
      <c r="C1007">
        <f t="shared" si="20"/>
        <v>10.208062894387554</v>
      </c>
    </row>
    <row r="1008" spans="1:3" x14ac:dyDescent="0.3">
      <c r="A1008" s="1">
        <v>43490</v>
      </c>
      <c r="B1008">
        <v>27569.189452999999</v>
      </c>
      <c r="C1008">
        <f t="shared" si="20"/>
        <v>10.22445410398465</v>
      </c>
    </row>
    <row r="1009" spans="1:3" x14ac:dyDescent="0.3">
      <c r="A1009" s="1">
        <v>43493</v>
      </c>
      <c r="B1009">
        <v>27576.960938</v>
      </c>
      <c r="C1009">
        <f t="shared" si="20"/>
        <v>10.224735954485414</v>
      </c>
    </row>
    <row r="1010" spans="1:3" x14ac:dyDescent="0.3">
      <c r="A1010" s="1">
        <v>43494</v>
      </c>
      <c r="B1010">
        <v>27531.679688</v>
      </c>
      <c r="C1010">
        <f t="shared" si="20"/>
        <v>10.223092609279432</v>
      </c>
    </row>
    <row r="1011" spans="1:3" x14ac:dyDescent="0.3">
      <c r="A1011" s="1">
        <v>43495</v>
      </c>
      <c r="B1011">
        <v>27642.849609000001</v>
      </c>
      <c r="C1011">
        <f t="shared" si="20"/>
        <v>10.227122369853987</v>
      </c>
    </row>
    <row r="1012" spans="1:3" x14ac:dyDescent="0.3">
      <c r="A1012" s="1">
        <v>43496</v>
      </c>
      <c r="B1012">
        <v>27942.470702999999</v>
      </c>
      <c r="C1012">
        <f t="shared" si="20"/>
        <v>10.237903057784671</v>
      </c>
    </row>
    <row r="1013" spans="1:3" x14ac:dyDescent="0.3">
      <c r="A1013" s="1">
        <v>43497</v>
      </c>
      <c r="B1013">
        <v>27930.740234000001</v>
      </c>
      <c r="C1013">
        <f t="shared" si="20"/>
        <v>10.237483161774557</v>
      </c>
    </row>
    <row r="1014" spans="1:3" x14ac:dyDescent="0.3">
      <c r="A1014" s="1">
        <v>43500</v>
      </c>
      <c r="B1014">
        <v>27990.210938</v>
      </c>
      <c r="C1014">
        <f t="shared" si="20"/>
        <v>10.2396101186726</v>
      </c>
    </row>
    <row r="1015" spans="1:3" x14ac:dyDescent="0.3">
      <c r="A1015" s="1">
        <v>43504</v>
      </c>
      <c r="B1015">
        <v>27946.320313</v>
      </c>
      <c r="C1015">
        <f t="shared" si="20"/>
        <v>10.238040817429713</v>
      </c>
    </row>
    <row r="1016" spans="1:3" x14ac:dyDescent="0.3">
      <c r="A1016" s="1">
        <v>43507</v>
      </c>
      <c r="B1016">
        <v>28143.839843999998</v>
      </c>
      <c r="C1016">
        <f t="shared" si="20"/>
        <v>10.245083776369903</v>
      </c>
    </row>
    <row r="1017" spans="1:3" x14ac:dyDescent="0.3">
      <c r="A1017" s="1">
        <v>43508</v>
      </c>
      <c r="B1017">
        <v>28171.330077999999</v>
      </c>
      <c r="C1017">
        <f t="shared" si="20"/>
        <v>10.246060075872208</v>
      </c>
    </row>
    <row r="1018" spans="1:3" x14ac:dyDescent="0.3">
      <c r="A1018" s="1">
        <v>43509</v>
      </c>
      <c r="B1018">
        <v>28497.589843999998</v>
      </c>
      <c r="C1018">
        <f t="shared" si="20"/>
        <v>10.257574795803569</v>
      </c>
    </row>
    <row r="1019" spans="1:3" x14ac:dyDescent="0.3">
      <c r="A1019" s="1">
        <v>43510</v>
      </c>
      <c r="B1019">
        <v>28432.050781000002</v>
      </c>
      <c r="C1019">
        <f t="shared" si="20"/>
        <v>10.255272336443767</v>
      </c>
    </row>
    <row r="1020" spans="1:3" x14ac:dyDescent="0.3">
      <c r="A1020" s="1">
        <v>43511</v>
      </c>
      <c r="B1020">
        <v>27900.839843999998</v>
      </c>
      <c r="C1020">
        <f t="shared" si="20"/>
        <v>10.236412069291887</v>
      </c>
    </row>
    <row r="1021" spans="1:3" x14ac:dyDescent="0.3">
      <c r="A1021" s="1">
        <v>43514</v>
      </c>
      <c r="B1021">
        <v>28347.009765999999</v>
      </c>
      <c r="C1021">
        <f t="shared" si="20"/>
        <v>10.252276827966851</v>
      </c>
    </row>
    <row r="1022" spans="1:3" x14ac:dyDescent="0.3">
      <c r="A1022" s="1">
        <v>43515</v>
      </c>
      <c r="B1022">
        <v>28228.130859000001</v>
      </c>
      <c r="C1022">
        <f t="shared" si="20"/>
        <v>10.248074307897138</v>
      </c>
    </row>
    <row r="1023" spans="1:3" x14ac:dyDescent="0.3">
      <c r="A1023" s="1">
        <v>43516</v>
      </c>
      <c r="B1023">
        <v>28514.050781000002</v>
      </c>
      <c r="C1023">
        <f t="shared" si="20"/>
        <v>10.258152254626959</v>
      </c>
    </row>
    <row r="1024" spans="1:3" x14ac:dyDescent="0.3">
      <c r="A1024" s="1">
        <v>43517</v>
      </c>
      <c r="B1024">
        <v>28629.919922000001</v>
      </c>
      <c r="C1024">
        <f t="shared" si="20"/>
        <v>10.262207601092092</v>
      </c>
    </row>
    <row r="1025" spans="1:3" x14ac:dyDescent="0.3">
      <c r="A1025" s="1">
        <v>43518</v>
      </c>
      <c r="B1025">
        <v>28816.300781000002</v>
      </c>
      <c r="C1025">
        <f t="shared" si="20"/>
        <v>10.268696505347103</v>
      </c>
    </row>
    <row r="1026" spans="1:3" x14ac:dyDescent="0.3">
      <c r="A1026" s="1">
        <v>43521</v>
      </c>
      <c r="B1026">
        <v>28959.300781000002</v>
      </c>
      <c r="C1026">
        <f t="shared" si="20"/>
        <v>10.273646701905689</v>
      </c>
    </row>
    <row r="1027" spans="1:3" x14ac:dyDescent="0.3">
      <c r="A1027" s="1">
        <v>43522</v>
      </c>
      <c r="B1027">
        <v>28772.060547000001</v>
      </c>
      <c r="C1027">
        <f t="shared" si="20"/>
        <v>10.267160075357339</v>
      </c>
    </row>
    <row r="1028" spans="1:3" x14ac:dyDescent="0.3">
      <c r="A1028" s="1">
        <v>43523</v>
      </c>
      <c r="B1028">
        <v>28757.439452999999</v>
      </c>
      <c r="C1028">
        <f t="shared" si="20"/>
        <v>10.266651776334584</v>
      </c>
    </row>
    <row r="1029" spans="1:3" x14ac:dyDescent="0.3">
      <c r="A1029" s="1">
        <v>43524</v>
      </c>
      <c r="B1029">
        <v>28633.179688</v>
      </c>
      <c r="C1029">
        <f t="shared" si="20"/>
        <v>10.262321453329422</v>
      </c>
    </row>
    <row r="1030" spans="1:3" x14ac:dyDescent="0.3">
      <c r="A1030" s="1">
        <v>43525</v>
      </c>
      <c r="B1030">
        <v>28812.169922000001</v>
      </c>
      <c r="C1030">
        <f t="shared" si="20"/>
        <v>10.268553143603969</v>
      </c>
    </row>
    <row r="1031" spans="1:3" x14ac:dyDescent="0.3">
      <c r="A1031" s="1">
        <v>43528</v>
      </c>
      <c r="B1031">
        <v>28959.589843999998</v>
      </c>
      <c r="C1031">
        <f t="shared" ref="C1031:C1094" si="21">LN(B1031)</f>
        <v>10.273656683554055</v>
      </c>
    </row>
    <row r="1032" spans="1:3" x14ac:dyDescent="0.3">
      <c r="A1032" s="1">
        <v>43529</v>
      </c>
      <c r="B1032">
        <v>28961.599609000001</v>
      </c>
      <c r="C1032">
        <f t="shared" si="21"/>
        <v>10.273726080091652</v>
      </c>
    </row>
    <row r="1033" spans="1:3" x14ac:dyDescent="0.3">
      <c r="A1033" s="1">
        <v>43530</v>
      </c>
      <c r="B1033">
        <v>29037.599609000001</v>
      </c>
      <c r="C1033">
        <f t="shared" si="21"/>
        <v>10.276346807430077</v>
      </c>
    </row>
    <row r="1034" spans="1:3" x14ac:dyDescent="0.3">
      <c r="A1034" s="1">
        <v>43531</v>
      </c>
      <c r="B1034">
        <v>28779.449218999998</v>
      </c>
      <c r="C1034">
        <f t="shared" si="21"/>
        <v>10.267416842627933</v>
      </c>
    </row>
    <row r="1035" spans="1:3" x14ac:dyDescent="0.3">
      <c r="A1035" s="1">
        <v>43532</v>
      </c>
      <c r="B1035">
        <v>28228.419922000001</v>
      </c>
      <c r="C1035">
        <f t="shared" si="21"/>
        <v>10.24808454809056</v>
      </c>
    </row>
    <row r="1036" spans="1:3" x14ac:dyDescent="0.3">
      <c r="A1036" s="1">
        <v>43535</v>
      </c>
      <c r="B1036">
        <v>28503.300781000002</v>
      </c>
      <c r="C1036">
        <f t="shared" si="21"/>
        <v>10.257775176427678</v>
      </c>
    </row>
    <row r="1037" spans="1:3" x14ac:dyDescent="0.3">
      <c r="A1037" s="1">
        <v>43536</v>
      </c>
      <c r="B1037">
        <v>28920.869140999999</v>
      </c>
      <c r="C1037">
        <f t="shared" si="21"/>
        <v>10.272318729106034</v>
      </c>
    </row>
    <row r="1038" spans="1:3" x14ac:dyDescent="0.3">
      <c r="A1038" s="1">
        <v>43537</v>
      </c>
      <c r="B1038">
        <v>28807.449218999998</v>
      </c>
      <c r="C1038">
        <f t="shared" si="21"/>
        <v>10.268389286116504</v>
      </c>
    </row>
    <row r="1039" spans="1:3" x14ac:dyDescent="0.3">
      <c r="A1039" s="1">
        <v>43538</v>
      </c>
      <c r="B1039">
        <v>28851.390625</v>
      </c>
      <c r="C1039">
        <f t="shared" si="21"/>
        <v>10.269913472680983</v>
      </c>
    </row>
    <row r="1040" spans="1:3" x14ac:dyDescent="0.3">
      <c r="A1040" s="1">
        <v>43539</v>
      </c>
      <c r="B1040">
        <v>29012.259765999999</v>
      </c>
      <c r="C1040">
        <f t="shared" si="21"/>
        <v>10.275473770186498</v>
      </c>
    </row>
    <row r="1041" spans="1:3" x14ac:dyDescent="0.3">
      <c r="A1041" s="1">
        <v>43542</v>
      </c>
      <c r="B1041">
        <v>29409.009765999999</v>
      </c>
      <c r="C1041">
        <f t="shared" si="21"/>
        <v>10.289056361004995</v>
      </c>
    </row>
    <row r="1042" spans="1:3" x14ac:dyDescent="0.3">
      <c r="A1042" s="1">
        <v>43543</v>
      </c>
      <c r="B1042">
        <v>29466.279297000001</v>
      </c>
      <c r="C1042">
        <f t="shared" si="21"/>
        <v>10.291001813841804</v>
      </c>
    </row>
    <row r="1043" spans="1:3" x14ac:dyDescent="0.3">
      <c r="A1043" s="1">
        <v>43544</v>
      </c>
      <c r="B1043">
        <v>29320.970702999999</v>
      </c>
      <c r="C1043">
        <f t="shared" si="21"/>
        <v>10.286058262649009</v>
      </c>
    </row>
    <row r="1044" spans="1:3" x14ac:dyDescent="0.3">
      <c r="A1044" s="1">
        <v>43545</v>
      </c>
      <c r="B1044">
        <v>29071.560547000001</v>
      </c>
      <c r="C1044">
        <f t="shared" si="21"/>
        <v>10.277515674499416</v>
      </c>
    </row>
    <row r="1045" spans="1:3" x14ac:dyDescent="0.3">
      <c r="A1045" s="1">
        <v>43546</v>
      </c>
      <c r="B1045">
        <v>29113.359375</v>
      </c>
      <c r="C1045">
        <f t="shared" si="21"/>
        <v>10.278952432863829</v>
      </c>
    </row>
    <row r="1046" spans="1:3" x14ac:dyDescent="0.3">
      <c r="A1046" s="1">
        <v>43549</v>
      </c>
      <c r="B1046">
        <v>28523.349609000001</v>
      </c>
      <c r="C1046">
        <f t="shared" si="21"/>
        <v>10.258478315352686</v>
      </c>
    </row>
    <row r="1047" spans="1:3" x14ac:dyDescent="0.3">
      <c r="A1047" s="1">
        <v>43550</v>
      </c>
      <c r="B1047">
        <v>28566.910156000002</v>
      </c>
      <c r="C1047">
        <f t="shared" si="21"/>
        <v>10.260004339428693</v>
      </c>
    </row>
    <row r="1048" spans="1:3" x14ac:dyDescent="0.3">
      <c r="A1048" s="1">
        <v>43551</v>
      </c>
      <c r="B1048">
        <v>28728.25</v>
      </c>
      <c r="C1048">
        <f t="shared" si="21"/>
        <v>10.265636238179388</v>
      </c>
    </row>
    <row r="1049" spans="1:3" x14ac:dyDescent="0.3">
      <c r="A1049" s="1">
        <v>43552</v>
      </c>
      <c r="B1049">
        <v>28775.210938</v>
      </c>
      <c r="C1049">
        <f t="shared" si="21"/>
        <v>10.267269564162694</v>
      </c>
    </row>
    <row r="1050" spans="1:3" x14ac:dyDescent="0.3">
      <c r="A1050" s="1">
        <v>43553</v>
      </c>
      <c r="B1050">
        <v>29051.359375</v>
      </c>
      <c r="C1050">
        <f t="shared" si="21"/>
        <v>10.276820555505376</v>
      </c>
    </row>
    <row r="1051" spans="1:3" x14ac:dyDescent="0.3">
      <c r="A1051" s="1">
        <v>43556</v>
      </c>
      <c r="B1051">
        <v>29562.019531000002</v>
      </c>
      <c r="C1051">
        <f t="shared" si="21"/>
        <v>10.294245692451049</v>
      </c>
    </row>
    <row r="1052" spans="1:3" x14ac:dyDescent="0.3">
      <c r="A1052" s="1">
        <v>43557</v>
      </c>
      <c r="B1052">
        <v>29624.669922000001</v>
      </c>
      <c r="C1052">
        <f t="shared" si="21"/>
        <v>10.296362736501944</v>
      </c>
    </row>
    <row r="1053" spans="1:3" x14ac:dyDescent="0.3">
      <c r="A1053" s="1">
        <v>43558</v>
      </c>
      <c r="B1053">
        <v>29986.390625</v>
      </c>
      <c r="C1053">
        <f t="shared" si="21"/>
        <v>10.308498911882559</v>
      </c>
    </row>
    <row r="1054" spans="1:3" x14ac:dyDescent="0.3">
      <c r="A1054" s="1">
        <v>43559</v>
      </c>
      <c r="B1054">
        <v>29936.320313</v>
      </c>
      <c r="C1054">
        <f t="shared" si="21"/>
        <v>10.306827748383137</v>
      </c>
    </row>
    <row r="1055" spans="1:3" x14ac:dyDescent="0.3">
      <c r="A1055" s="1">
        <v>43563</v>
      </c>
      <c r="B1055">
        <v>30077.150390999999</v>
      </c>
      <c r="C1055">
        <f t="shared" si="21"/>
        <v>10.311521039234439</v>
      </c>
    </row>
    <row r="1056" spans="1:3" x14ac:dyDescent="0.3">
      <c r="A1056" s="1">
        <v>43564</v>
      </c>
      <c r="B1056">
        <v>30157.490234000001</v>
      </c>
      <c r="C1056">
        <f t="shared" si="21"/>
        <v>10.314188603606278</v>
      </c>
    </row>
    <row r="1057" spans="1:3" x14ac:dyDescent="0.3">
      <c r="A1057" s="1">
        <v>43565</v>
      </c>
      <c r="B1057">
        <v>30119.560547000001</v>
      </c>
      <c r="C1057">
        <f t="shared" si="21"/>
        <v>10.312930091734353</v>
      </c>
    </row>
    <row r="1058" spans="1:3" x14ac:dyDescent="0.3">
      <c r="A1058" s="1">
        <v>43566</v>
      </c>
      <c r="B1058">
        <v>29839.449218999998</v>
      </c>
      <c r="C1058">
        <f t="shared" si="21"/>
        <v>10.303586596339038</v>
      </c>
    </row>
    <row r="1059" spans="1:3" x14ac:dyDescent="0.3">
      <c r="A1059" s="1">
        <v>43567</v>
      </c>
      <c r="B1059">
        <v>29909.759765999999</v>
      </c>
      <c r="C1059">
        <f t="shared" si="21"/>
        <v>10.30594011969605</v>
      </c>
    </row>
    <row r="1060" spans="1:3" x14ac:dyDescent="0.3">
      <c r="A1060" s="1">
        <v>43570</v>
      </c>
      <c r="B1060">
        <v>29810.720702999999</v>
      </c>
      <c r="C1060">
        <f t="shared" si="21"/>
        <v>10.302623362931362</v>
      </c>
    </row>
    <row r="1061" spans="1:3" x14ac:dyDescent="0.3">
      <c r="A1061" s="1">
        <v>43571</v>
      </c>
      <c r="B1061">
        <v>30129.869140999999</v>
      </c>
      <c r="C1061">
        <f t="shared" si="21"/>
        <v>10.31327228896855</v>
      </c>
    </row>
    <row r="1062" spans="1:3" x14ac:dyDescent="0.3">
      <c r="A1062" s="1">
        <v>43572</v>
      </c>
      <c r="B1062">
        <v>30124.679688</v>
      </c>
      <c r="C1062">
        <f t="shared" si="21"/>
        <v>10.313100037972943</v>
      </c>
    </row>
    <row r="1063" spans="1:3" x14ac:dyDescent="0.3">
      <c r="A1063" s="1">
        <v>43573</v>
      </c>
      <c r="B1063">
        <v>29963.259765999999</v>
      </c>
      <c r="C1063">
        <f t="shared" si="21"/>
        <v>10.307727235651022</v>
      </c>
    </row>
    <row r="1064" spans="1:3" x14ac:dyDescent="0.3">
      <c r="A1064" s="1">
        <v>43578</v>
      </c>
      <c r="B1064">
        <v>29963.240234000001</v>
      </c>
      <c r="C1064">
        <f t="shared" si="21"/>
        <v>10.30772658378582</v>
      </c>
    </row>
    <row r="1065" spans="1:3" x14ac:dyDescent="0.3">
      <c r="A1065" s="1">
        <v>43579</v>
      </c>
      <c r="B1065">
        <v>29805.830077999999</v>
      </c>
      <c r="C1065">
        <f t="shared" si="21"/>
        <v>10.302459293559789</v>
      </c>
    </row>
    <row r="1066" spans="1:3" x14ac:dyDescent="0.3">
      <c r="A1066" s="1">
        <v>43580</v>
      </c>
      <c r="B1066">
        <v>29549.800781000002</v>
      </c>
      <c r="C1066">
        <f t="shared" si="21"/>
        <v>10.29383228105179</v>
      </c>
    </row>
    <row r="1067" spans="1:3" x14ac:dyDescent="0.3">
      <c r="A1067" s="1">
        <v>43581</v>
      </c>
      <c r="B1067">
        <v>29605.009765999999</v>
      </c>
      <c r="C1067">
        <f t="shared" si="21"/>
        <v>10.295698874842532</v>
      </c>
    </row>
    <row r="1068" spans="1:3" x14ac:dyDescent="0.3">
      <c r="A1068" s="1">
        <v>43584</v>
      </c>
      <c r="B1068">
        <v>29892.810547000001</v>
      </c>
      <c r="C1068">
        <f t="shared" si="21"/>
        <v>10.305373280532947</v>
      </c>
    </row>
    <row r="1069" spans="1:3" x14ac:dyDescent="0.3">
      <c r="A1069" s="1">
        <v>43585</v>
      </c>
      <c r="B1069">
        <v>29699.109375</v>
      </c>
      <c r="C1069">
        <f t="shared" si="21"/>
        <v>10.298872336967424</v>
      </c>
    </row>
    <row r="1070" spans="1:3" x14ac:dyDescent="0.3">
      <c r="A1070" s="1">
        <v>43587</v>
      </c>
      <c r="B1070">
        <v>29944.179688</v>
      </c>
      <c r="C1070">
        <f t="shared" si="21"/>
        <v>10.307090250367756</v>
      </c>
    </row>
    <row r="1071" spans="1:3" x14ac:dyDescent="0.3">
      <c r="A1071" s="1">
        <v>43588</v>
      </c>
      <c r="B1071">
        <v>30081.550781000002</v>
      </c>
      <c r="C1071">
        <f t="shared" si="21"/>
        <v>10.311667331954267</v>
      </c>
    </row>
    <row r="1072" spans="1:3" x14ac:dyDescent="0.3">
      <c r="A1072" s="1">
        <v>43591</v>
      </c>
      <c r="B1072">
        <v>29209.820313</v>
      </c>
      <c r="C1072">
        <f t="shared" si="21"/>
        <v>10.28226024380518</v>
      </c>
    </row>
    <row r="1073" spans="1:3" x14ac:dyDescent="0.3">
      <c r="A1073" s="1">
        <v>43592</v>
      </c>
      <c r="B1073">
        <v>29363.019531000002</v>
      </c>
      <c r="C1073">
        <f t="shared" si="21"/>
        <v>10.28749132250157</v>
      </c>
    </row>
    <row r="1074" spans="1:3" x14ac:dyDescent="0.3">
      <c r="A1074" s="1">
        <v>43593</v>
      </c>
      <c r="B1074">
        <v>29003.199218999998</v>
      </c>
      <c r="C1074">
        <f t="shared" si="21"/>
        <v>10.275161420780591</v>
      </c>
    </row>
    <row r="1075" spans="1:3" x14ac:dyDescent="0.3">
      <c r="A1075" s="1">
        <v>43594</v>
      </c>
      <c r="B1075">
        <v>28311.070313</v>
      </c>
      <c r="C1075">
        <f t="shared" si="21"/>
        <v>10.251008184279309</v>
      </c>
    </row>
    <row r="1076" spans="1:3" x14ac:dyDescent="0.3">
      <c r="A1076" s="1">
        <v>43595</v>
      </c>
      <c r="B1076">
        <v>28550.240234000001</v>
      </c>
      <c r="C1076">
        <f t="shared" si="21"/>
        <v>10.259420629549631</v>
      </c>
    </row>
    <row r="1077" spans="1:3" x14ac:dyDescent="0.3">
      <c r="A1077" s="1">
        <v>43599</v>
      </c>
      <c r="B1077">
        <v>28122.019531000002</v>
      </c>
      <c r="C1077">
        <f t="shared" si="21"/>
        <v>10.244308161660157</v>
      </c>
    </row>
    <row r="1078" spans="1:3" x14ac:dyDescent="0.3">
      <c r="A1078" s="1">
        <v>43600</v>
      </c>
      <c r="B1078">
        <v>28268.710938</v>
      </c>
      <c r="C1078">
        <f t="shared" si="21"/>
        <v>10.249510851416664</v>
      </c>
    </row>
    <row r="1079" spans="1:3" x14ac:dyDescent="0.3">
      <c r="A1079" s="1">
        <v>43601</v>
      </c>
      <c r="B1079">
        <v>28275.070313</v>
      </c>
      <c r="C1079">
        <f t="shared" si="21"/>
        <v>10.249735787736313</v>
      </c>
    </row>
    <row r="1080" spans="1:3" x14ac:dyDescent="0.3">
      <c r="A1080" s="1">
        <v>43602</v>
      </c>
      <c r="B1080">
        <v>27946.460938</v>
      </c>
      <c r="C1080">
        <f t="shared" si="21"/>
        <v>10.238045849385427</v>
      </c>
    </row>
    <row r="1081" spans="1:3" x14ac:dyDescent="0.3">
      <c r="A1081" s="1">
        <v>43605</v>
      </c>
      <c r="B1081">
        <v>27787.609375</v>
      </c>
      <c r="C1081">
        <f t="shared" si="21"/>
        <v>10.232345494387063</v>
      </c>
    </row>
    <row r="1082" spans="1:3" x14ac:dyDescent="0.3">
      <c r="A1082" s="1">
        <v>43606</v>
      </c>
      <c r="B1082">
        <v>27657.240234000001</v>
      </c>
      <c r="C1082">
        <f t="shared" si="21"/>
        <v>10.22764282562054</v>
      </c>
    </row>
    <row r="1083" spans="1:3" x14ac:dyDescent="0.3">
      <c r="A1083" s="1">
        <v>43607</v>
      </c>
      <c r="B1083">
        <v>27705.939452999999</v>
      </c>
      <c r="C1083">
        <f t="shared" si="21"/>
        <v>10.229402089876521</v>
      </c>
    </row>
    <row r="1084" spans="1:3" x14ac:dyDescent="0.3">
      <c r="A1084" s="1">
        <v>43608</v>
      </c>
      <c r="B1084">
        <v>27267.130859000001</v>
      </c>
      <c r="C1084">
        <f t="shared" si="21"/>
        <v>10.213437257946524</v>
      </c>
    </row>
    <row r="1085" spans="1:3" x14ac:dyDescent="0.3">
      <c r="A1085" s="1">
        <v>43609</v>
      </c>
      <c r="B1085">
        <v>27353.929688</v>
      </c>
      <c r="C1085">
        <f t="shared" si="21"/>
        <v>10.216615478991457</v>
      </c>
    </row>
    <row r="1086" spans="1:3" x14ac:dyDescent="0.3">
      <c r="A1086" s="1">
        <v>43612</v>
      </c>
      <c r="B1086">
        <v>27288.089843999998</v>
      </c>
      <c r="C1086">
        <f t="shared" si="21"/>
        <v>10.214205616529297</v>
      </c>
    </row>
    <row r="1087" spans="1:3" x14ac:dyDescent="0.3">
      <c r="A1087" s="1">
        <v>43613</v>
      </c>
      <c r="B1087">
        <v>27390.810547000001</v>
      </c>
      <c r="C1087">
        <f t="shared" si="21"/>
        <v>10.21796285462686</v>
      </c>
    </row>
    <row r="1088" spans="1:3" x14ac:dyDescent="0.3">
      <c r="A1088" s="1">
        <v>43614</v>
      </c>
      <c r="B1088">
        <v>27235.710938</v>
      </c>
      <c r="C1088">
        <f t="shared" si="21"/>
        <v>10.212284293314051</v>
      </c>
    </row>
    <row r="1089" spans="1:3" x14ac:dyDescent="0.3">
      <c r="A1089" s="1">
        <v>43615</v>
      </c>
      <c r="B1089">
        <v>27114.880859000001</v>
      </c>
      <c r="C1089">
        <f t="shared" si="21"/>
        <v>10.2078379653507</v>
      </c>
    </row>
    <row r="1090" spans="1:3" x14ac:dyDescent="0.3">
      <c r="A1090" s="1">
        <v>43616</v>
      </c>
      <c r="B1090">
        <v>26901.089843999998</v>
      </c>
      <c r="C1090">
        <f t="shared" si="21"/>
        <v>10.199922079416075</v>
      </c>
    </row>
    <row r="1091" spans="1:3" x14ac:dyDescent="0.3">
      <c r="A1091" s="1">
        <v>43619</v>
      </c>
      <c r="B1091">
        <v>26893.859375</v>
      </c>
      <c r="C1091">
        <f t="shared" si="21"/>
        <v>10.199653263508688</v>
      </c>
    </row>
    <row r="1092" spans="1:3" x14ac:dyDescent="0.3">
      <c r="A1092" s="1">
        <v>43620</v>
      </c>
      <c r="B1092">
        <v>26761.519531000002</v>
      </c>
      <c r="C1092">
        <f t="shared" si="21"/>
        <v>10.194720296299689</v>
      </c>
    </row>
    <row r="1093" spans="1:3" x14ac:dyDescent="0.3">
      <c r="A1093" s="1">
        <v>43621</v>
      </c>
      <c r="B1093">
        <v>26895.439452999999</v>
      </c>
      <c r="C1093">
        <f t="shared" si="21"/>
        <v>10.1997120141537</v>
      </c>
    </row>
    <row r="1094" spans="1:3" x14ac:dyDescent="0.3">
      <c r="A1094" s="1">
        <v>43622</v>
      </c>
      <c r="B1094">
        <v>26965.279297000001</v>
      </c>
      <c r="C1094">
        <f t="shared" si="21"/>
        <v>10.202305365477745</v>
      </c>
    </row>
    <row r="1095" spans="1:3" x14ac:dyDescent="0.3">
      <c r="A1095" s="1">
        <v>43626</v>
      </c>
      <c r="B1095">
        <v>27578.640625</v>
      </c>
      <c r="C1095">
        <f t="shared" ref="C1095:C1158" si="22">LN(B1095)</f>
        <v>10.22479686169893</v>
      </c>
    </row>
    <row r="1096" spans="1:3" x14ac:dyDescent="0.3">
      <c r="A1096" s="1">
        <v>43627</v>
      </c>
      <c r="B1096">
        <v>27789.339843999998</v>
      </c>
      <c r="C1096">
        <f t="shared" si="22"/>
        <v>10.232407767290663</v>
      </c>
    </row>
    <row r="1097" spans="1:3" x14ac:dyDescent="0.3">
      <c r="A1097" s="1">
        <v>43628</v>
      </c>
      <c r="B1097">
        <v>27308.460938</v>
      </c>
      <c r="C1097">
        <f t="shared" si="22"/>
        <v>10.214951857625248</v>
      </c>
    </row>
    <row r="1098" spans="1:3" x14ac:dyDescent="0.3">
      <c r="A1098" s="1">
        <v>43629</v>
      </c>
      <c r="B1098">
        <v>27294.710938</v>
      </c>
      <c r="C1098">
        <f t="shared" si="22"/>
        <v>10.214448223868517</v>
      </c>
    </row>
    <row r="1099" spans="1:3" x14ac:dyDescent="0.3">
      <c r="A1099" s="1">
        <v>43630</v>
      </c>
      <c r="B1099">
        <v>27118.349609000001</v>
      </c>
      <c r="C1099">
        <f t="shared" si="22"/>
        <v>10.207965885077215</v>
      </c>
    </row>
    <row r="1100" spans="1:3" x14ac:dyDescent="0.3">
      <c r="A1100" s="1">
        <v>43633</v>
      </c>
      <c r="B1100">
        <v>27227.160156000002</v>
      </c>
      <c r="C1100">
        <f t="shared" si="22"/>
        <v>10.211970289226549</v>
      </c>
    </row>
    <row r="1101" spans="1:3" x14ac:dyDescent="0.3">
      <c r="A1101" s="1">
        <v>43634</v>
      </c>
      <c r="B1101">
        <v>27498.769531000002</v>
      </c>
      <c r="C1101">
        <f t="shared" si="22"/>
        <v>10.221896538326332</v>
      </c>
    </row>
    <row r="1102" spans="1:3" x14ac:dyDescent="0.3">
      <c r="A1102" s="1">
        <v>43635</v>
      </c>
      <c r="B1102">
        <v>28202.140625</v>
      </c>
      <c r="C1102">
        <f t="shared" si="22"/>
        <v>10.24715316273323</v>
      </c>
    </row>
    <row r="1103" spans="1:3" x14ac:dyDescent="0.3">
      <c r="A1103" s="1">
        <v>43636</v>
      </c>
      <c r="B1103">
        <v>28550.429688</v>
      </c>
      <c r="C1103">
        <f t="shared" si="22"/>
        <v>10.259427265338676</v>
      </c>
    </row>
    <row r="1104" spans="1:3" x14ac:dyDescent="0.3">
      <c r="A1104" s="1">
        <v>43637</v>
      </c>
      <c r="B1104">
        <v>28473.710938</v>
      </c>
      <c r="C1104">
        <f t="shared" si="22"/>
        <v>10.256736517334566</v>
      </c>
    </row>
    <row r="1105" spans="1:3" x14ac:dyDescent="0.3">
      <c r="A1105" s="1">
        <v>43640</v>
      </c>
      <c r="B1105">
        <v>28513</v>
      </c>
      <c r="C1105">
        <f t="shared" si="22"/>
        <v>10.258115402607235</v>
      </c>
    </row>
    <row r="1106" spans="1:3" x14ac:dyDescent="0.3">
      <c r="A1106" s="1">
        <v>43641</v>
      </c>
      <c r="B1106">
        <v>28185.980468999998</v>
      </c>
      <c r="C1106">
        <f t="shared" si="22"/>
        <v>10.246579986818555</v>
      </c>
    </row>
    <row r="1107" spans="1:3" x14ac:dyDescent="0.3">
      <c r="A1107" s="1">
        <v>43642</v>
      </c>
      <c r="B1107">
        <v>28221.980468999998</v>
      </c>
      <c r="C1107">
        <f t="shared" si="22"/>
        <v>10.24785640256871</v>
      </c>
    </row>
    <row r="1108" spans="1:3" x14ac:dyDescent="0.3">
      <c r="A1108" s="1">
        <v>43643</v>
      </c>
      <c r="B1108">
        <v>28621.419922000001</v>
      </c>
      <c r="C1108">
        <f t="shared" si="22"/>
        <v>10.261910664807784</v>
      </c>
    </row>
    <row r="1109" spans="1:3" x14ac:dyDescent="0.3">
      <c r="A1109" s="1">
        <v>43644</v>
      </c>
      <c r="B1109">
        <v>28542.619140999999</v>
      </c>
      <c r="C1109">
        <f t="shared" si="22"/>
        <v>10.259153657703109</v>
      </c>
    </row>
    <row r="1110" spans="1:3" x14ac:dyDescent="0.3">
      <c r="A1110" s="1">
        <v>43648</v>
      </c>
      <c r="B1110">
        <v>28875.560547000001</v>
      </c>
      <c r="C1110">
        <f t="shared" si="22"/>
        <v>10.270750860518785</v>
      </c>
    </row>
    <row r="1111" spans="1:3" x14ac:dyDescent="0.3">
      <c r="A1111" s="1">
        <v>43649</v>
      </c>
      <c r="B1111">
        <v>28855.140625</v>
      </c>
      <c r="C1111">
        <f t="shared" si="22"/>
        <v>10.27004344063865</v>
      </c>
    </row>
    <row r="1112" spans="1:3" x14ac:dyDescent="0.3">
      <c r="A1112" s="1">
        <v>43650</v>
      </c>
      <c r="B1112">
        <v>28795.769531000002</v>
      </c>
      <c r="C1112">
        <f t="shared" si="22"/>
        <v>10.267983764049733</v>
      </c>
    </row>
    <row r="1113" spans="1:3" x14ac:dyDescent="0.3">
      <c r="A1113" s="1">
        <v>43651</v>
      </c>
      <c r="B1113">
        <v>28774.830077999999</v>
      </c>
      <c r="C1113">
        <f t="shared" si="22"/>
        <v>10.267256328377165</v>
      </c>
    </row>
    <row r="1114" spans="1:3" x14ac:dyDescent="0.3">
      <c r="A1114" s="1">
        <v>43654</v>
      </c>
      <c r="B1114">
        <v>28331.689452999999</v>
      </c>
      <c r="C1114">
        <f t="shared" si="22"/>
        <v>10.251736225815277</v>
      </c>
    </row>
    <row r="1115" spans="1:3" x14ac:dyDescent="0.3">
      <c r="A1115" s="1">
        <v>43655</v>
      </c>
      <c r="B1115">
        <v>28116.279297000001</v>
      </c>
      <c r="C1115">
        <f t="shared" si="22"/>
        <v>10.244104021985253</v>
      </c>
    </row>
    <row r="1116" spans="1:3" x14ac:dyDescent="0.3">
      <c r="A1116" s="1">
        <v>43656</v>
      </c>
      <c r="B1116">
        <v>28204.689452999999</v>
      </c>
      <c r="C1116">
        <f t="shared" si="22"/>
        <v>10.247243535760688</v>
      </c>
    </row>
    <row r="1117" spans="1:3" x14ac:dyDescent="0.3">
      <c r="A1117" s="1">
        <v>43657</v>
      </c>
      <c r="B1117">
        <v>28431.800781000002</v>
      </c>
      <c r="C1117">
        <f t="shared" si="22"/>
        <v>10.255263543511415</v>
      </c>
    </row>
    <row r="1118" spans="1:3" x14ac:dyDescent="0.3">
      <c r="A1118" s="1">
        <v>43658</v>
      </c>
      <c r="B1118">
        <v>28471.619140999999</v>
      </c>
      <c r="C1118">
        <f t="shared" si="22"/>
        <v>10.256663050484939</v>
      </c>
    </row>
    <row r="1119" spans="1:3" x14ac:dyDescent="0.3">
      <c r="A1119" s="1">
        <v>43661</v>
      </c>
      <c r="B1119">
        <v>28554.880859000001</v>
      </c>
      <c r="C1119">
        <f t="shared" si="22"/>
        <v>10.259583158756167</v>
      </c>
    </row>
    <row r="1120" spans="1:3" x14ac:dyDescent="0.3">
      <c r="A1120" s="1">
        <v>43662</v>
      </c>
      <c r="B1120">
        <v>28619.619140999999</v>
      </c>
      <c r="C1120">
        <f t="shared" si="22"/>
        <v>10.26184774557955</v>
      </c>
    </row>
    <row r="1121" spans="1:3" x14ac:dyDescent="0.3">
      <c r="A1121" s="1">
        <v>43663</v>
      </c>
      <c r="B1121">
        <v>28593.169922000001</v>
      </c>
      <c r="C1121">
        <f t="shared" si="22"/>
        <v>10.260923154371277</v>
      </c>
    </row>
    <row r="1122" spans="1:3" x14ac:dyDescent="0.3">
      <c r="A1122" s="1">
        <v>43664</v>
      </c>
      <c r="B1122">
        <v>28461.660156000002</v>
      </c>
      <c r="C1122">
        <f t="shared" si="22"/>
        <v>10.256313202901081</v>
      </c>
    </row>
    <row r="1123" spans="1:3" x14ac:dyDescent="0.3">
      <c r="A1123" s="1">
        <v>43665</v>
      </c>
      <c r="B1123">
        <v>28765.400390999999</v>
      </c>
      <c r="C1123">
        <f t="shared" si="22"/>
        <v>10.266928568581713</v>
      </c>
    </row>
    <row r="1124" spans="1:3" x14ac:dyDescent="0.3">
      <c r="A1124" s="1">
        <v>43668</v>
      </c>
      <c r="B1124">
        <v>28371.259765999999</v>
      </c>
      <c r="C1124">
        <f t="shared" si="22"/>
        <v>10.253131931681324</v>
      </c>
    </row>
    <row r="1125" spans="1:3" x14ac:dyDescent="0.3">
      <c r="A1125" s="1">
        <v>43669</v>
      </c>
      <c r="B1125">
        <v>28466.480468999998</v>
      </c>
      <c r="C1125">
        <f t="shared" si="22"/>
        <v>10.25648255018552</v>
      </c>
    </row>
    <row r="1126" spans="1:3" x14ac:dyDescent="0.3">
      <c r="A1126" s="1">
        <v>43670</v>
      </c>
      <c r="B1126">
        <v>28524.039063</v>
      </c>
      <c r="C1126">
        <f t="shared" si="22"/>
        <v>10.258502486625591</v>
      </c>
    </row>
    <row r="1127" spans="1:3" x14ac:dyDescent="0.3">
      <c r="A1127" s="1">
        <v>43671</v>
      </c>
      <c r="B1127">
        <v>28594.300781000002</v>
      </c>
      <c r="C1127">
        <f t="shared" si="22"/>
        <v>10.260962703558755</v>
      </c>
    </row>
    <row r="1128" spans="1:3" x14ac:dyDescent="0.3">
      <c r="A1128" s="1">
        <v>43672</v>
      </c>
      <c r="B1128">
        <v>28397.740234000001</v>
      </c>
      <c r="C1128">
        <f t="shared" si="22"/>
        <v>10.254064851758146</v>
      </c>
    </row>
    <row r="1129" spans="1:3" x14ac:dyDescent="0.3">
      <c r="A1129" s="1">
        <v>43675</v>
      </c>
      <c r="B1129">
        <v>28106.410156000002</v>
      </c>
      <c r="C1129">
        <f t="shared" si="22"/>
        <v>10.243752948737161</v>
      </c>
    </row>
    <row r="1130" spans="1:3" x14ac:dyDescent="0.3">
      <c r="A1130" s="1">
        <v>43676</v>
      </c>
      <c r="B1130">
        <v>28146.5</v>
      </c>
      <c r="C1130">
        <f t="shared" si="22"/>
        <v>10.245178291912334</v>
      </c>
    </row>
    <row r="1131" spans="1:3" x14ac:dyDescent="0.3">
      <c r="A1131" s="1">
        <v>43677</v>
      </c>
      <c r="B1131">
        <v>27777.75</v>
      </c>
      <c r="C1131">
        <f t="shared" si="22"/>
        <v>10.231990619507664</v>
      </c>
    </row>
    <row r="1132" spans="1:3" x14ac:dyDescent="0.3">
      <c r="A1132" s="1">
        <v>43678</v>
      </c>
      <c r="B1132">
        <v>27565.699218999998</v>
      </c>
      <c r="C1132">
        <f t="shared" si="22"/>
        <v>10.224327496891075</v>
      </c>
    </row>
    <row r="1133" spans="1:3" x14ac:dyDescent="0.3">
      <c r="A1133" s="1">
        <v>43679</v>
      </c>
      <c r="B1133">
        <v>26918.580077999999</v>
      </c>
      <c r="C1133">
        <f t="shared" si="22"/>
        <v>10.200572036379432</v>
      </c>
    </row>
    <row r="1134" spans="1:3" x14ac:dyDescent="0.3">
      <c r="A1134" s="1">
        <v>43682</v>
      </c>
      <c r="B1134">
        <v>26151.320313</v>
      </c>
      <c r="C1134">
        <f t="shared" si="22"/>
        <v>10.171654958199372</v>
      </c>
    </row>
    <row r="1135" spans="1:3" x14ac:dyDescent="0.3">
      <c r="A1135" s="1">
        <v>43683</v>
      </c>
      <c r="B1135">
        <v>25976.240234000001</v>
      </c>
      <c r="C1135">
        <f t="shared" si="22"/>
        <v>10.164937562046045</v>
      </c>
    </row>
    <row r="1136" spans="1:3" x14ac:dyDescent="0.3">
      <c r="A1136" s="1">
        <v>43684</v>
      </c>
      <c r="B1136">
        <v>25997.029297000001</v>
      </c>
      <c r="C1136">
        <f t="shared" si="22"/>
        <v>10.165737552668006</v>
      </c>
    </row>
    <row r="1137" spans="1:3" x14ac:dyDescent="0.3">
      <c r="A1137" s="1">
        <v>43685</v>
      </c>
      <c r="B1137">
        <v>26120.769531000002</v>
      </c>
      <c r="C1137">
        <f t="shared" si="22"/>
        <v>10.170486044326987</v>
      </c>
    </row>
    <row r="1138" spans="1:3" x14ac:dyDescent="0.3">
      <c r="A1138" s="1">
        <v>43686</v>
      </c>
      <c r="B1138">
        <v>25939.300781000002</v>
      </c>
      <c r="C1138">
        <f t="shared" si="22"/>
        <v>10.163514502264269</v>
      </c>
    </row>
    <row r="1139" spans="1:3" x14ac:dyDescent="0.3">
      <c r="A1139" s="1">
        <v>43689</v>
      </c>
      <c r="B1139">
        <v>25824.720702999999</v>
      </c>
      <c r="C1139">
        <f t="shared" si="22"/>
        <v>10.159087478943878</v>
      </c>
    </row>
    <row r="1140" spans="1:3" x14ac:dyDescent="0.3">
      <c r="A1140" s="1">
        <v>43690</v>
      </c>
      <c r="B1140">
        <v>25281.300781000002</v>
      </c>
      <c r="C1140">
        <f t="shared" si="22"/>
        <v>10.137820301881654</v>
      </c>
    </row>
    <row r="1141" spans="1:3" x14ac:dyDescent="0.3">
      <c r="A1141" s="1">
        <v>43691</v>
      </c>
      <c r="B1141">
        <v>25302.279297000001</v>
      </c>
      <c r="C1141">
        <f t="shared" si="22"/>
        <v>10.138649761448194</v>
      </c>
    </row>
    <row r="1142" spans="1:3" x14ac:dyDescent="0.3">
      <c r="A1142" s="1">
        <v>43692</v>
      </c>
      <c r="B1142">
        <v>25495.460938</v>
      </c>
      <c r="C1142">
        <f t="shared" si="22"/>
        <v>10.146255712870833</v>
      </c>
    </row>
    <row r="1143" spans="1:3" x14ac:dyDescent="0.3">
      <c r="A1143" s="1">
        <v>43693</v>
      </c>
      <c r="B1143">
        <v>25734.220702999999</v>
      </c>
      <c r="C1143">
        <f t="shared" si="22"/>
        <v>10.155576930027426</v>
      </c>
    </row>
    <row r="1144" spans="1:3" x14ac:dyDescent="0.3">
      <c r="A1144" s="1">
        <v>43696</v>
      </c>
      <c r="B1144">
        <v>26291.839843999998</v>
      </c>
      <c r="C1144">
        <f t="shared" si="22"/>
        <v>10.177013897930257</v>
      </c>
    </row>
    <row r="1145" spans="1:3" x14ac:dyDescent="0.3">
      <c r="A1145" s="1">
        <v>43697</v>
      </c>
      <c r="B1145">
        <v>26231.539063</v>
      </c>
      <c r="C1145">
        <f t="shared" si="22"/>
        <v>10.174717746816276</v>
      </c>
    </row>
    <row r="1146" spans="1:3" x14ac:dyDescent="0.3">
      <c r="A1146" s="1">
        <v>43698</v>
      </c>
      <c r="B1146">
        <v>26270.039063</v>
      </c>
      <c r="C1146">
        <f t="shared" si="22"/>
        <v>10.176184369659827</v>
      </c>
    </row>
    <row r="1147" spans="1:3" x14ac:dyDescent="0.3">
      <c r="A1147" s="1">
        <v>43699</v>
      </c>
      <c r="B1147">
        <v>26048.720702999999</v>
      </c>
      <c r="C1147">
        <f t="shared" si="22"/>
        <v>10.167723936685785</v>
      </c>
    </row>
    <row r="1148" spans="1:3" x14ac:dyDescent="0.3">
      <c r="A1148" s="1">
        <v>43700</v>
      </c>
      <c r="B1148">
        <v>26179.330077999999</v>
      </c>
      <c r="C1148">
        <f t="shared" si="22"/>
        <v>10.172725450060854</v>
      </c>
    </row>
    <row r="1149" spans="1:3" x14ac:dyDescent="0.3">
      <c r="A1149" s="1">
        <v>43703</v>
      </c>
      <c r="B1149">
        <v>25680.330077999999</v>
      </c>
      <c r="C1149">
        <f t="shared" si="22"/>
        <v>10.153480611225964</v>
      </c>
    </row>
    <row r="1150" spans="1:3" x14ac:dyDescent="0.3">
      <c r="A1150" s="1">
        <v>43704</v>
      </c>
      <c r="B1150">
        <v>25664.070313</v>
      </c>
      <c r="C1150">
        <f t="shared" si="22"/>
        <v>10.15284725041467</v>
      </c>
    </row>
    <row r="1151" spans="1:3" x14ac:dyDescent="0.3">
      <c r="A1151" s="1">
        <v>43705</v>
      </c>
      <c r="B1151">
        <v>25615.480468999998</v>
      </c>
      <c r="C1151">
        <f t="shared" si="22"/>
        <v>10.150952153527076</v>
      </c>
    </row>
    <row r="1152" spans="1:3" x14ac:dyDescent="0.3">
      <c r="A1152" s="1">
        <v>43706</v>
      </c>
      <c r="B1152">
        <v>25703.5</v>
      </c>
      <c r="C1152">
        <f t="shared" si="22"/>
        <v>10.154382448381163</v>
      </c>
    </row>
    <row r="1153" spans="1:3" x14ac:dyDescent="0.3">
      <c r="A1153" s="1">
        <v>43707</v>
      </c>
      <c r="B1153">
        <v>25724.730468999998</v>
      </c>
      <c r="C1153">
        <f t="shared" si="22"/>
        <v>10.155208083251832</v>
      </c>
    </row>
    <row r="1154" spans="1:3" x14ac:dyDescent="0.3">
      <c r="A1154" s="1">
        <v>43710</v>
      </c>
      <c r="B1154">
        <v>25626.550781000002</v>
      </c>
      <c r="C1154">
        <f t="shared" si="22"/>
        <v>10.151384232892479</v>
      </c>
    </row>
    <row r="1155" spans="1:3" x14ac:dyDescent="0.3">
      <c r="A1155" s="1">
        <v>43711</v>
      </c>
      <c r="B1155">
        <v>25527.849609000001</v>
      </c>
      <c r="C1155">
        <f t="shared" si="22"/>
        <v>10.14752527672324</v>
      </c>
    </row>
    <row r="1156" spans="1:3" x14ac:dyDescent="0.3">
      <c r="A1156" s="1">
        <v>43712</v>
      </c>
      <c r="B1156">
        <v>26523.230468999998</v>
      </c>
      <c r="C1156">
        <f t="shared" si="22"/>
        <v>10.185776249437813</v>
      </c>
    </row>
    <row r="1157" spans="1:3" x14ac:dyDescent="0.3">
      <c r="A1157" s="1">
        <v>43713</v>
      </c>
      <c r="B1157">
        <v>26515.529297000001</v>
      </c>
      <c r="C1157">
        <f t="shared" si="22"/>
        <v>10.185485851544344</v>
      </c>
    </row>
    <row r="1158" spans="1:3" x14ac:dyDescent="0.3">
      <c r="A1158" s="1">
        <v>43714</v>
      </c>
      <c r="B1158">
        <v>26690.759765999999</v>
      </c>
      <c r="C1158">
        <f t="shared" si="22"/>
        <v>10.192072708310384</v>
      </c>
    </row>
    <row r="1159" spans="1:3" x14ac:dyDescent="0.3">
      <c r="A1159" s="1">
        <v>43717</v>
      </c>
      <c r="B1159">
        <v>26681.400390999999</v>
      </c>
      <c r="C1159">
        <f t="shared" ref="C1159:C1222" si="23">LN(B1159)</f>
        <v>10.191721987070382</v>
      </c>
    </row>
    <row r="1160" spans="1:3" x14ac:dyDescent="0.3">
      <c r="A1160" s="1">
        <v>43718</v>
      </c>
      <c r="B1160">
        <v>26683.679688</v>
      </c>
      <c r="C1160">
        <f t="shared" si="23"/>
        <v>10.191807409859893</v>
      </c>
    </row>
    <row r="1161" spans="1:3" x14ac:dyDescent="0.3">
      <c r="A1161" s="1">
        <v>43719</v>
      </c>
      <c r="B1161">
        <v>27159.060547000001</v>
      </c>
      <c r="C1161">
        <f t="shared" si="23"/>
        <v>10.209465991494135</v>
      </c>
    </row>
    <row r="1162" spans="1:3" x14ac:dyDescent="0.3">
      <c r="A1162" s="1">
        <v>43720</v>
      </c>
      <c r="B1162">
        <v>27087.630859000001</v>
      </c>
      <c r="C1162">
        <f t="shared" si="23"/>
        <v>10.206832476806643</v>
      </c>
    </row>
    <row r="1163" spans="1:3" x14ac:dyDescent="0.3">
      <c r="A1163" s="1">
        <v>43721</v>
      </c>
      <c r="B1163">
        <v>27352.689452999999</v>
      </c>
      <c r="C1163">
        <f t="shared" si="23"/>
        <v>10.216570137677383</v>
      </c>
    </row>
    <row r="1164" spans="1:3" x14ac:dyDescent="0.3">
      <c r="A1164" s="1">
        <v>43724</v>
      </c>
      <c r="B1164">
        <v>27124.550781000002</v>
      </c>
      <c r="C1164">
        <f t="shared" si="23"/>
        <v>10.208194529636501</v>
      </c>
    </row>
    <row r="1165" spans="1:3" x14ac:dyDescent="0.3">
      <c r="A1165" s="1">
        <v>43725</v>
      </c>
      <c r="B1165">
        <v>26790.240234000001</v>
      </c>
      <c r="C1165">
        <f t="shared" si="23"/>
        <v>10.19579292979968</v>
      </c>
    </row>
    <row r="1166" spans="1:3" x14ac:dyDescent="0.3">
      <c r="A1166" s="1">
        <v>43726</v>
      </c>
      <c r="B1166">
        <v>26754.119140999999</v>
      </c>
      <c r="C1166">
        <f t="shared" si="23"/>
        <v>10.194443727048876</v>
      </c>
    </row>
    <row r="1167" spans="1:3" x14ac:dyDescent="0.3">
      <c r="A1167" s="1">
        <v>43727</v>
      </c>
      <c r="B1167">
        <v>26468.949218999998</v>
      </c>
      <c r="C1167">
        <f t="shared" si="23"/>
        <v>10.18372759737993</v>
      </c>
    </row>
    <row r="1168" spans="1:3" x14ac:dyDescent="0.3">
      <c r="A1168" s="1">
        <v>43728</v>
      </c>
      <c r="B1168">
        <v>26435.669922000001</v>
      </c>
      <c r="C1168">
        <f t="shared" si="23"/>
        <v>10.182469510584115</v>
      </c>
    </row>
    <row r="1169" spans="1:3" x14ac:dyDescent="0.3">
      <c r="A1169" s="1">
        <v>43731</v>
      </c>
      <c r="B1169">
        <v>26222.400390999999</v>
      </c>
      <c r="C1169">
        <f t="shared" si="23"/>
        <v>10.174369301220478</v>
      </c>
    </row>
    <row r="1170" spans="1:3" x14ac:dyDescent="0.3">
      <c r="A1170" s="1">
        <v>43732</v>
      </c>
      <c r="B1170">
        <v>26281</v>
      </c>
      <c r="C1170">
        <f t="shared" si="23"/>
        <v>10.176601523624978</v>
      </c>
    </row>
    <row r="1171" spans="1:3" x14ac:dyDescent="0.3">
      <c r="A1171" s="1">
        <v>43733</v>
      </c>
      <c r="B1171">
        <v>25945.349609000001</v>
      </c>
      <c r="C1171">
        <f t="shared" si="23"/>
        <v>10.163747666715871</v>
      </c>
    </row>
    <row r="1172" spans="1:3" x14ac:dyDescent="0.3">
      <c r="A1172" s="1">
        <v>43734</v>
      </c>
      <c r="B1172">
        <v>26041.929688</v>
      </c>
      <c r="C1172">
        <f t="shared" si="23"/>
        <v>10.167463198338789</v>
      </c>
    </row>
    <row r="1173" spans="1:3" x14ac:dyDescent="0.3">
      <c r="A1173" s="1">
        <v>43735</v>
      </c>
      <c r="B1173">
        <v>25954.810547000001</v>
      </c>
      <c r="C1173">
        <f t="shared" si="23"/>
        <v>10.164112248947461</v>
      </c>
    </row>
    <row r="1174" spans="1:3" x14ac:dyDescent="0.3">
      <c r="A1174" s="1">
        <v>43738</v>
      </c>
      <c r="B1174">
        <v>26092.269531000002</v>
      </c>
      <c r="C1174">
        <f t="shared" si="23"/>
        <v>10.169394362887161</v>
      </c>
    </row>
    <row r="1175" spans="1:3" x14ac:dyDescent="0.3">
      <c r="A1175" s="1">
        <v>43740</v>
      </c>
      <c r="B1175">
        <v>26042.689452999999</v>
      </c>
      <c r="C1175">
        <f t="shared" si="23"/>
        <v>10.16749237259455</v>
      </c>
    </row>
    <row r="1176" spans="1:3" x14ac:dyDescent="0.3">
      <c r="A1176" s="1">
        <v>43741</v>
      </c>
      <c r="B1176">
        <v>26110.310547000001</v>
      </c>
      <c r="C1176">
        <f t="shared" si="23"/>
        <v>10.170085555417925</v>
      </c>
    </row>
    <row r="1177" spans="1:3" x14ac:dyDescent="0.3">
      <c r="A1177" s="1">
        <v>43742</v>
      </c>
      <c r="B1177">
        <v>25821.029297000001</v>
      </c>
      <c r="C1177">
        <f t="shared" si="23"/>
        <v>10.158944527936049</v>
      </c>
    </row>
    <row r="1178" spans="1:3" x14ac:dyDescent="0.3">
      <c r="A1178" s="1">
        <v>43746</v>
      </c>
      <c r="B1178">
        <v>25893.400390999999</v>
      </c>
      <c r="C1178">
        <f t="shared" si="23"/>
        <v>10.161743404059449</v>
      </c>
    </row>
    <row r="1179" spans="1:3" x14ac:dyDescent="0.3">
      <c r="A1179" s="1">
        <v>43747</v>
      </c>
      <c r="B1179">
        <v>25682.810547000001</v>
      </c>
      <c r="C1179">
        <f t="shared" si="23"/>
        <v>10.153577196791868</v>
      </c>
    </row>
    <row r="1180" spans="1:3" x14ac:dyDescent="0.3">
      <c r="A1180" s="1">
        <v>43748</v>
      </c>
      <c r="B1180">
        <v>25707.929688</v>
      </c>
      <c r="C1180">
        <f t="shared" si="23"/>
        <v>10.154554771463319</v>
      </c>
    </row>
    <row r="1181" spans="1:3" x14ac:dyDescent="0.3">
      <c r="A1181" s="1">
        <v>43749</v>
      </c>
      <c r="B1181">
        <v>26308.439452999999</v>
      </c>
      <c r="C1181">
        <f t="shared" si="23"/>
        <v>10.177645058440159</v>
      </c>
    </row>
    <row r="1182" spans="1:3" x14ac:dyDescent="0.3">
      <c r="A1182" s="1">
        <v>43752</v>
      </c>
      <c r="B1182">
        <v>26521.849609000001</v>
      </c>
      <c r="C1182">
        <f t="shared" si="23"/>
        <v>10.185724185796914</v>
      </c>
    </row>
    <row r="1183" spans="1:3" x14ac:dyDescent="0.3">
      <c r="A1183" s="1">
        <v>43753</v>
      </c>
      <c r="B1183">
        <v>26503.929688</v>
      </c>
      <c r="C1183">
        <f t="shared" si="23"/>
        <v>10.185048291093629</v>
      </c>
    </row>
    <row r="1184" spans="1:3" x14ac:dyDescent="0.3">
      <c r="A1184" s="1">
        <v>43754</v>
      </c>
      <c r="B1184">
        <v>26664.279297000001</v>
      </c>
      <c r="C1184">
        <f t="shared" si="23"/>
        <v>10.191080094617686</v>
      </c>
    </row>
    <row r="1185" spans="1:3" x14ac:dyDescent="0.3">
      <c r="A1185" s="1">
        <v>43755</v>
      </c>
      <c r="B1185">
        <v>26848.490234000001</v>
      </c>
      <c r="C1185">
        <f t="shared" si="23"/>
        <v>10.197964868709882</v>
      </c>
    </row>
    <row r="1186" spans="1:3" x14ac:dyDescent="0.3">
      <c r="A1186" s="1">
        <v>43756</v>
      </c>
      <c r="B1186">
        <v>26719.580077999999</v>
      </c>
      <c r="C1186">
        <f t="shared" si="23"/>
        <v>10.193151911883378</v>
      </c>
    </row>
    <row r="1187" spans="1:3" x14ac:dyDescent="0.3">
      <c r="A1187" s="1">
        <v>43759</v>
      </c>
      <c r="B1187">
        <v>26725.679688</v>
      </c>
      <c r="C1187">
        <f t="shared" si="23"/>
        <v>10.193380168235885</v>
      </c>
    </row>
    <row r="1188" spans="1:3" x14ac:dyDescent="0.3">
      <c r="A1188" s="1">
        <v>43760</v>
      </c>
      <c r="B1188">
        <v>26786.199218999998</v>
      </c>
      <c r="C1188">
        <f t="shared" si="23"/>
        <v>10.19564207934941</v>
      </c>
    </row>
    <row r="1189" spans="1:3" x14ac:dyDescent="0.3">
      <c r="A1189" s="1">
        <v>43761</v>
      </c>
      <c r="B1189">
        <v>26566.730468999998</v>
      </c>
      <c r="C1189">
        <f t="shared" si="23"/>
        <v>10.187414977700788</v>
      </c>
    </row>
    <row r="1190" spans="1:3" x14ac:dyDescent="0.3">
      <c r="A1190" s="1">
        <v>43762</v>
      </c>
      <c r="B1190">
        <v>26797.949218999998</v>
      </c>
      <c r="C1190">
        <f t="shared" si="23"/>
        <v>10.196080641891911</v>
      </c>
    </row>
    <row r="1191" spans="1:3" x14ac:dyDescent="0.3">
      <c r="A1191" s="1">
        <v>43763</v>
      </c>
      <c r="B1191">
        <v>26667.390625</v>
      </c>
      <c r="C1191">
        <f t="shared" si="23"/>
        <v>10.191196773056896</v>
      </c>
    </row>
    <row r="1192" spans="1:3" x14ac:dyDescent="0.3">
      <c r="A1192" s="1">
        <v>43766</v>
      </c>
      <c r="B1192">
        <v>26891.259765999999</v>
      </c>
      <c r="C1192">
        <f t="shared" si="23"/>
        <v>10.199556597031286</v>
      </c>
    </row>
    <row r="1193" spans="1:3" x14ac:dyDescent="0.3">
      <c r="A1193" s="1">
        <v>43767</v>
      </c>
      <c r="B1193">
        <v>26786.759765999999</v>
      </c>
      <c r="C1193">
        <f t="shared" si="23"/>
        <v>10.19566300583959</v>
      </c>
    </row>
    <row r="1194" spans="1:3" x14ac:dyDescent="0.3">
      <c r="A1194" s="1">
        <v>43768</v>
      </c>
      <c r="B1194">
        <v>26667.710938</v>
      </c>
      <c r="C1194">
        <f t="shared" si="23"/>
        <v>10.191208784396169</v>
      </c>
    </row>
    <row r="1195" spans="1:3" x14ac:dyDescent="0.3">
      <c r="A1195" s="1">
        <v>43769</v>
      </c>
      <c r="B1195">
        <v>26906.720702999999</v>
      </c>
      <c r="C1195">
        <f t="shared" si="23"/>
        <v>10.200131374645274</v>
      </c>
    </row>
    <row r="1196" spans="1:3" x14ac:dyDescent="0.3">
      <c r="A1196" s="1">
        <v>43770</v>
      </c>
      <c r="B1196">
        <v>27100.759765999999</v>
      </c>
      <c r="C1196">
        <f t="shared" si="23"/>
        <v>10.207317042120557</v>
      </c>
    </row>
    <row r="1197" spans="1:3" x14ac:dyDescent="0.3">
      <c r="A1197" s="1">
        <v>43773</v>
      </c>
      <c r="B1197">
        <v>27547.300781000002</v>
      </c>
      <c r="C1197">
        <f t="shared" si="23"/>
        <v>10.223659834499863</v>
      </c>
    </row>
    <row r="1198" spans="1:3" x14ac:dyDescent="0.3">
      <c r="A1198" s="1">
        <v>43774</v>
      </c>
      <c r="B1198">
        <v>27683.400390999999</v>
      </c>
      <c r="C1198">
        <f t="shared" si="23"/>
        <v>10.228588248682257</v>
      </c>
    </row>
    <row r="1199" spans="1:3" x14ac:dyDescent="0.3">
      <c r="A1199" s="1">
        <v>43775</v>
      </c>
      <c r="B1199">
        <v>27688.640625</v>
      </c>
      <c r="C1199">
        <f t="shared" si="23"/>
        <v>10.228777522327205</v>
      </c>
    </row>
    <row r="1200" spans="1:3" x14ac:dyDescent="0.3">
      <c r="A1200" s="1">
        <v>43776</v>
      </c>
      <c r="B1200">
        <v>27847.230468999998</v>
      </c>
      <c r="C1200">
        <f t="shared" si="23"/>
        <v>10.234488795850348</v>
      </c>
    </row>
    <row r="1201" spans="1:3" x14ac:dyDescent="0.3">
      <c r="A1201" s="1">
        <v>43777</v>
      </c>
      <c r="B1201">
        <v>27651.140625</v>
      </c>
      <c r="C1201">
        <f t="shared" si="23"/>
        <v>10.227422258360027</v>
      </c>
    </row>
    <row r="1202" spans="1:3" x14ac:dyDescent="0.3">
      <c r="A1202" s="1">
        <v>43780</v>
      </c>
      <c r="B1202">
        <v>26926.550781000002</v>
      </c>
      <c r="C1202">
        <f t="shared" si="23"/>
        <v>10.200868096689105</v>
      </c>
    </row>
    <row r="1203" spans="1:3" x14ac:dyDescent="0.3">
      <c r="A1203" s="1">
        <v>43781</v>
      </c>
      <c r="B1203">
        <v>27065.279297000001</v>
      </c>
      <c r="C1203">
        <f t="shared" si="23"/>
        <v>10.206006978667949</v>
      </c>
    </row>
    <row r="1204" spans="1:3" x14ac:dyDescent="0.3">
      <c r="A1204" s="1">
        <v>43782</v>
      </c>
      <c r="B1204">
        <v>26571.460938</v>
      </c>
      <c r="C1204">
        <f t="shared" si="23"/>
        <v>10.187593021736058</v>
      </c>
    </row>
    <row r="1205" spans="1:3" x14ac:dyDescent="0.3">
      <c r="A1205" s="1">
        <v>43783</v>
      </c>
      <c r="B1205">
        <v>26323.689452999999</v>
      </c>
      <c r="C1205">
        <f t="shared" si="23"/>
        <v>10.178224552401121</v>
      </c>
    </row>
    <row r="1206" spans="1:3" x14ac:dyDescent="0.3">
      <c r="A1206" s="1">
        <v>43784</v>
      </c>
      <c r="B1206">
        <v>26326.660156000002</v>
      </c>
      <c r="C1206">
        <f t="shared" si="23"/>
        <v>10.178337398869386</v>
      </c>
    </row>
    <row r="1207" spans="1:3" x14ac:dyDescent="0.3">
      <c r="A1207" s="1">
        <v>43787</v>
      </c>
      <c r="B1207">
        <v>26681.089843999998</v>
      </c>
      <c r="C1207">
        <f t="shared" si="23"/>
        <v>10.19171034792091</v>
      </c>
    </row>
    <row r="1208" spans="1:3" x14ac:dyDescent="0.3">
      <c r="A1208" s="1">
        <v>43788</v>
      </c>
      <c r="B1208">
        <v>27093.800781000002</v>
      </c>
      <c r="C1208">
        <f t="shared" si="23"/>
        <v>10.207060227231093</v>
      </c>
    </row>
    <row r="1209" spans="1:3" x14ac:dyDescent="0.3">
      <c r="A1209" s="1">
        <v>43789</v>
      </c>
      <c r="B1209">
        <v>26889.609375</v>
      </c>
      <c r="C1209">
        <f t="shared" si="23"/>
        <v>10.199495222381643</v>
      </c>
    </row>
    <row r="1210" spans="1:3" x14ac:dyDescent="0.3">
      <c r="A1210" s="1">
        <v>43790</v>
      </c>
      <c r="B1210">
        <v>26466.880859000001</v>
      </c>
      <c r="C1210">
        <f t="shared" si="23"/>
        <v>10.18364945144369</v>
      </c>
    </row>
    <row r="1211" spans="1:3" x14ac:dyDescent="0.3">
      <c r="A1211" s="1">
        <v>43791</v>
      </c>
      <c r="B1211">
        <v>26595.080077999999</v>
      </c>
      <c r="C1211">
        <f t="shared" si="23"/>
        <v>10.188481518188993</v>
      </c>
    </row>
    <row r="1212" spans="1:3" x14ac:dyDescent="0.3">
      <c r="A1212" s="1">
        <v>43794</v>
      </c>
      <c r="B1212">
        <v>26993.039063</v>
      </c>
      <c r="C1212">
        <f t="shared" si="23"/>
        <v>10.203334299265634</v>
      </c>
    </row>
    <row r="1213" spans="1:3" x14ac:dyDescent="0.3">
      <c r="A1213" s="1">
        <v>43795</v>
      </c>
      <c r="B1213">
        <v>26913.919922000001</v>
      </c>
      <c r="C1213">
        <f t="shared" si="23"/>
        <v>10.200398900968235</v>
      </c>
    </row>
    <row r="1214" spans="1:3" x14ac:dyDescent="0.3">
      <c r="A1214" s="1">
        <v>43796</v>
      </c>
      <c r="B1214">
        <v>26954</v>
      </c>
      <c r="C1214">
        <f t="shared" si="23"/>
        <v>10.201886988329104</v>
      </c>
    </row>
    <row r="1215" spans="1:3" x14ac:dyDescent="0.3">
      <c r="A1215" s="1">
        <v>43797</v>
      </c>
      <c r="B1215">
        <v>26893.730468999998</v>
      </c>
      <c r="C1215">
        <f t="shared" si="23"/>
        <v>10.199648470358433</v>
      </c>
    </row>
    <row r="1216" spans="1:3" x14ac:dyDescent="0.3">
      <c r="A1216" s="1">
        <v>43798</v>
      </c>
      <c r="B1216">
        <v>26346.490234000001</v>
      </c>
      <c r="C1216">
        <f t="shared" si="23"/>
        <v>10.179090347147209</v>
      </c>
    </row>
    <row r="1217" spans="1:3" x14ac:dyDescent="0.3">
      <c r="A1217" s="1">
        <v>43801</v>
      </c>
      <c r="B1217">
        <v>26444.720702999999</v>
      </c>
      <c r="C1217">
        <f t="shared" si="23"/>
        <v>10.182811822014926</v>
      </c>
    </row>
    <row r="1218" spans="1:3" x14ac:dyDescent="0.3">
      <c r="A1218" s="1">
        <v>43802</v>
      </c>
      <c r="B1218">
        <v>26391.300781000002</v>
      </c>
      <c r="C1218">
        <f t="shared" si="23"/>
        <v>10.180789718960911</v>
      </c>
    </row>
    <row r="1219" spans="1:3" x14ac:dyDescent="0.3">
      <c r="A1219" s="1">
        <v>43803</v>
      </c>
      <c r="B1219">
        <v>26062.560547000001</v>
      </c>
      <c r="C1219">
        <f t="shared" si="23"/>
        <v>10.168255101684741</v>
      </c>
    </row>
    <row r="1220" spans="1:3" x14ac:dyDescent="0.3">
      <c r="A1220" s="1">
        <v>43804</v>
      </c>
      <c r="B1220">
        <v>26217.039063</v>
      </c>
      <c r="C1220">
        <f t="shared" si="23"/>
        <v>10.174164824281958</v>
      </c>
    </row>
    <row r="1221" spans="1:3" x14ac:dyDescent="0.3">
      <c r="A1221" s="1">
        <v>43805</v>
      </c>
      <c r="B1221">
        <v>26498.369140999999</v>
      </c>
      <c r="C1221">
        <f t="shared" si="23"/>
        <v>10.184838468231479</v>
      </c>
    </row>
    <row r="1222" spans="1:3" x14ac:dyDescent="0.3">
      <c r="A1222" s="1">
        <v>43808</v>
      </c>
      <c r="B1222">
        <v>26494.730468999998</v>
      </c>
      <c r="C1222">
        <f t="shared" si="23"/>
        <v>10.184701141974571</v>
      </c>
    </row>
    <row r="1223" spans="1:3" x14ac:dyDescent="0.3">
      <c r="A1223" s="1">
        <v>43809</v>
      </c>
      <c r="B1223">
        <v>26436.619140999999</v>
      </c>
      <c r="C1223">
        <f t="shared" ref="C1223:C1286" si="24">LN(B1223)</f>
        <v>10.182505416689823</v>
      </c>
    </row>
    <row r="1224" spans="1:3" x14ac:dyDescent="0.3">
      <c r="A1224" s="1">
        <v>43810</v>
      </c>
      <c r="B1224">
        <v>26645.429688</v>
      </c>
      <c r="C1224">
        <f t="shared" si="24"/>
        <v>10.190372921003556</v>
      </c>
    </row>
    <row r="1225" spans="1:3" x14ac:dyDescent="0.3">
      <c r="A1225" s="1">
        <v>43811</v>
      </c>
      <c r="B1225">
        <v>26994.140625</v>
      </c>
      <c r="C1225">
        <f t="shared" si="24"/>
        <v>10.203375107546655</v>
      </c>
    </row>
    <row r="1226" spans="1:3" x14ac:dyDescent="0.3">
      <c r="A1226" s="1">
        <v>43812</v>
      </c>
      <c r="B1226">
        <v>27687.759765999999</v>
      </c>
      <c r="C1226">
        <f t="shared" si="24"/>
        <v>10.2287457088112</v>
      </c>
    </row>
    <row r="1227" spans="1:3" x14ac:dyDescent="0.3">
      <c r="A1227" s="1">
        <v>43815</v>
      </c>
      <c r="B1227">
        <v>27508.089843999998</v>
      </c>
      <c r="C1227">
        <f t="shared" si="24"/>
        <v>10.222235416538799</v>
      </c>
    </row>
    <row r="1228" spans="1:3" x14ac:dyDescent="0.3">
      <c r="A1228" s="1">
        <v>43816</v>
      </c>
      <c r="B1228">
        <v>27843.710938</v>
      </c>
      <c r="C1228">
        <f t="shared" si="24"/>
        <v>10.234362400752124</v>
      </c>
    </row>
    <row r="1229" spans="1:3" x14ac:dyDescent="0.3">
      <c r="A1229" s="1">
        <v>43817</v>
      </c>
      <c r="B1229">
        <v>27884.210938</v>
      </c>
      <c r="C1229">
        <f t="shared" si="24"/>
        <v>10.235815891417728</v>
      </c>
    </row>
    <row r="1230" spans="1:3" x14ac:dyDescent="0.3">
      <c r="A1230" s="1">
        <v>43818</v>
      </c>
      <c r="B1230">
        <v>27800.490234000001</v>
      </c>
      <c r="C1230">
        <f t="shared" si="24"/>
        <v>10.232808933839792</v>
      </c>
    </row>
    <row r="1231" spans="1:3" x14ac:dyDescent="0.3">
      <c r="A1231" s="1">
        <v>43819</v>
      </c>
      <c r="B1231">
        <v>27871.349609000001</v>
      </c>
      <c r="C1231">
        <f t="shared" si="24"/>
        <v>10.235354544456028</v>
      </c>
    </row>
    <row r="1232" spans="1:3" x14ac:dyDescent="0.3">
      <c r="A1232" s="1">
        <v>43822</v>
      </c>
      <c r="B1232">
        <v>27906.410156000002</v>
      </c>
      <c r="C1232">
        <f t="shared" si="24"/>
        <v>10.236611696115229</v>
      </c>
    </row>
    <row r="1233" spans="1:3" x14ac:dyDescent="0.3">
      <c r="A1233" s="1">
        <v>43823</v>
      </c>
      <c r="B1233">
        <v>27864.210938</v>
      </c>
      <c r="C1233">
        <f t="shared" si="24"/>
        <v>10.235098382287065</v>
      </c>
    </row>
    <row r="1234" spans="1:3" x14ac:dyDescent="0.3">
      <c r="A1234" s="1">
        <v>43826</v>
      </c>
      <c r="B1234">
        <v>28225.419922000001</v>
      </c>
      <c r="C1234">
        <f t="shared" si="24"/>
        <v>10.24797826656884</v>
      </c>
    </row>
    <row r="1235" spans="1:3" x14ac:dyDescent="0.3">
      <c r="A1235" s="1">
        <v>43829</v>
      </c>
      <c r="B1235">
        <v>28319.390625</v>
      </c>
      <c r="C1235">
        <f t="shared" si="24"/>
        <v>10.251302030097339</v>
      </c>
    </row>
    <row r="1236" spans="1:3" x14ac:dyDescent="0.3">
      <c r="A1236" s="1">
        <v>43830</v>
      </c>
      <c r="B1236">
        <v>28189.75</v>
      </c>
      <c r="C1236">
        <f t="shared" si="24"/>
        <v>10.246713715675787</v>
      </c>
    </row>
    <row r="1237" spans="1:3" x14ac:dyDescent="0.3">
      <c r="A1237" s="1">
        <v>43832</v>
      </c>
      <c r="B1237">
        <v>28543.519531000002</v>
      </c>
      <c r="C1237">
        <f t="shared" si="24"/>
        <v>10.259185202663796</v>
      </c>
    </row>
    <row r="1238" spans="1:3" x14ac:dyDescent="0.3">
      <c r="A1238" s="1">
        <v>43833</v>
      </c>
      <c r="B1238">
        <v>28451.5</v>
      </c>
      <c r="C1238">
        <f t="shared" si="24"/>
        <v>10.25595616224194</v>
      </c>
    </row>
    <row r="1239" spans="1:3" x14ac:dyDescent="0.3">
      <c r="A1239" s="1">
        <v>43836</v>
      </c>
      <c r="B1239">
        <v>28226.189452999999</v>
      </c>
      <c r="C1239">
        <f t="shared" si="24"/>
        <v>10.248005529954545</v>
      </c>
    </row>
    <row r="1240" spans="1:3" x14ac:dyDescent="0.3">
      <c r="A1240" s="1">
        <v>43837</v>
      </c>
      <c r="B1240">
        <v>28322.060547000001</v>
      </c>
      <c r="C1240">
        <f t="shared" si="24"/>
        <v>10.251396304588784</v>
      </c>
    </row>
    <row r="1241" spans="1:3" x14ac:dyDescent="0.3">
      <c r="A1241" s="1">
        <v>43838</v>
      </c>
      <c r="B1241">
        <v>28087.919922000001</v>
      </c>
      <c r="C1241">
        <f t="shared" si="24"/>
        <v>10.243094866875818</v>
      </c>
    </row>
    <row r="1242" spans="1:3" x14ac:dyDescent="0.3">
      <c r="A1242" s="1">
        <v>43839</v>
      </c>
      <c r="B1242">
        <v>28561</v>
      </c>
      <c r="C1242">
        <f t="shared" si="24"/>
        <v>10.259797429846147</v>
      </c>
    </row>
    <row r="1243" spans="1:3" x14ac:dyDescent="0.3">
      <c r="A1243" s="1">
        <v>43840</v>
      </c>
      <c r="B1243">
        <v>28638.199218999998</v>
      </c>
      <c r="C1243">
        <f t="shared" si="24"/>
        <v>10.262496742666212</v>
      </c>
    </row>
    <row r="1244" spans="1:3" x14ac:dyDescent="0.3">
      <c r="A1244" s="1">
        <v>43843</v>
      </c>
      <c r="B1244">
        <v>28954.939452999999</v>
      </c>
      <c r="C1244">
        <f t="shared" si="24"/>
        <v>10.27349608858535</v>
      </c>
    </row>
    <row r="1245" spans="1:3" x14ac:dyDescent="0.3">
      <c r="A1245" s="1">
        <v>43844</v>
      </c>
      <c r="B1245">
        <v>28885.140625</v>
      </c>
      <c r="C1245">
        <f t="shared" si="24"/>
        <v>10.271082576647345</v>
      </c>
    </row>
    <row r="1246" spans="1:3" x14ac:dyDescent="0.3">
      <c r="A1246" s="1">
        <v>43845</v>
      </c>
      <c r="B1246">
        <v>28773.589843999998</v>
      </c>
      <c r="C1246">
        <f t="shared" si="24"/>
        <v>10.267213226099054</v>
      </c>
    </row>
    <row r="1247" spans="1:3" x14ac:dyDescent="0.3">
      <c r="A1247" s="1">
        <v>43846</v>
      </c>
      <c r="B1247">
        <v>28883.039063</v>
      </c>
      <c r="C1247">
        <f t="shared" si="24"/>
        <v>10.271009818183696</v>
      </c>
    </row>
    <row r="1248" spans="1:3" x14ac:dyDescent="0.3">
      <c r="A1248" s="1">
        <v>43847</v>
      </c>
      <c r="B1248">
        <v>29056.419922000001</v>
      </c>
      <c r="C1248">
        <f t="shared" si="24"/>
        <v>10.276994733457933</v>
      </c>
    </row>
    <row r="1249" spans="1:3" x14ac:dyDescent="0.3">
      <c r="A1249" s="1">
        <v>43850</v>
      </c>
      <c r="B1249">
        <v>28795.910156000002</v>
      </c>
      <c r="C1249">
        <f t="shared" si="24"/>
        <v>10.267988647567657</v>
      </c>
    </row>
    <row r="1250" spans="1:3" x14ac:dyDescent="0.3">
      <c r="A1250" s="1">
        <v>43851</v>
      </c>
      <c r="B1250">
        <v>27985.330077999999</v>
      </c>
      <c r="C1250">
        <f t="shared" si="24"/>
        <v>10.239435726074554</v>
      </c>
    </row>
    <row r="1251" spans="1:3" x14ac:dyDescent="0.3">
      <c r="A1251" s="1">
        <v>43852</v>
      </c>
      <c r="B1251">
        <v>28341.039063</v>
      </c>
      <c r="C1251">
        <f t="shared" si="24"/>
        <v>10.252066176757454</v>
      </c>
    </row>
    <row r="1252" spans="1:3" x14ac:dyDescent="0.3">
      <c r="A1252" s="1">
        <v>43853</v>
      </c>
      <c r="B1252">
        <v>27909.119140999999</v>
      </c>
      <c r="C1252">
        <f t="shared" si="24"/>
        <v>10.236708765337227</v>
      </c>
    </row>
    <row r="1253" spans="1:3" x14ac:dyDescent="0.3">
      <c r="A1253" s="1">
        <v>43854</v>
      </c>
      <c r="B1253">
        <v>27949.640625</v>
      </c>
      <c r="C1253">
        <f t="shared" si="24"/>
        <v>10.238159620718831</v>
      </c>
    </row>
    <row r="1254" spans="1:3" x14ac:dyDescent="0.3">
      <c r="A1254" s="1">
        <v>43859</v>
      </c>
      <c r="B1254">
        <v>27160.630859000001</v>
      </c>
      <c r="C1254">
        <f t="shared" si="24"/>
        <v>10.20952380890656</v>
      </c>
    </row>
    <row r="1255" spans="1:3" x14ac:dyDescent="0.3">
      <c r="A1255" s="1">
        <v>43860</v>
      </c>
      <c r="B1255">
        <v>26449.130859000001</v>
      </c>
      <c r="C1255">
        <f t="shared" si="24"/>
        <v>10.182978576973394</v>
      </c>
    </row>
    <row r="1256" spans="1:3" x14ac:dyDescent="0.3">
      <c r="A1256" s="1">
        <v>43861</v>
      </c>
      <c r="B1256">
        <v>26312.630859000001</v>
      </c>
      <c r="C1256">
        <f t="shared" si="24"/>
        <v>10.177804363676028</v>
      </c>
    </row>
    <row r="1257" spans="1:3" x14ac:dyDescent="0.3">
      <c r="A1257" s="1">
        <v>43864</v>
      </c>
      <c r="B1257">
        <v>26356.980468999998</v>
      </c>
      <c r="C1257">
        <f t="shared" si="24"/>
        <v>10.179488432320676</v>
      </c>
    </row>
    <row r="1258" spans="1:3" x14ac:dyDescent="0.3">
      <c r="A1258" s="1">
        <v>43865</v>
      </c>
      <c r="B1258">
        <v>26675.980468999998</v>
      </c>
      <c r="C1258">
        <f t="shared" si="24"/>
        <v>10.191518831595683</v>
      </c>
    </row>
    <row r="1259" spans="1:3" x14ac:dyDescent="0.3">
      <c r="A1259" s="1">
        <v>43866</v>
      </c>
      <c r="B1259">
        <v>26786.740234000001</v>
      </c>
      <c r="C1259">
        <f t="shared" si="24"/>
        <v>10.195662276673117</v>
      </c>
    </row>
    <row r="1260" spans="1:3" x14ac:dyDescent="0.3">
      <c r="A1260" s="1">
        <v>43867</v>
      </c>
      <c r="B1260">
        <v>27493.699218999998</v>
      </c>
      <c r="C1260">
        <f t="shared" si="24"/>
        <v>10.221712138093732</v>
      </c>
    </row>
    <row r="1261" spans="1:3" x14ac:dyDescent="0.3">
      <c r="A1261" s="1">
        <v>43868</v>
      </c>
      <c r="B1261">
        <v>27404.269531000002</v>
      </c>
      <c r="C1261">
        <f t="shared" si="24"/>
        <v>10.218454102536398</v>
      </c>
    </row>
    <row r="1262" spans="1:3" x14ac:dyDescent="0.3">
      <c r="A1262" s="1">
        <v>43871</v>
      </c>
      <c r="B1262">
        <v>27241.339843999998</v>
      </c>
      <c r="C1262">
        <f t="shared" si="24"/>
        <v>10.212490945691124</v>
      </c>
    </row>
    <row r="1263" spans="1:3" x14ac:dyDescent="0.3">
      <c r="A1263" s="1">
        <v>43872</v>
      </c>
      <c r="B1263">
        <v>27583.880859000001</v>
      </c>
      <c r="C1263">
        <f t="shared" si="24"/>
        <v>10.224986854247305</v>
      </c>
    </row>
    <row r="1264" spans="1:3" x14ac:dyDescent="0.3">
      <c r="A1264" s="1">
        <v>43873</v>
      </c>
      <c r="B1264">
        <v>27823.660156000002</v>
      </c>
      <c r="C1264">
        <f t="shared" si="24"/>
        <v>10.233642022459668</v>
      </c>
    </row>
    <row r="1265" spans="1:3" x14ac:dyDescent="0.3">
      <c r="A1265" s="1">
        <v>43874</v>
      </c>
      <c r="B1265">
        <v>27730</v>
      </c>
      <c r="C1265">
        <f t="shared" si="24"/>
        <v>10.230270138609823</v>
      </c>
    </row>
    <row r="1266" spans="1:3" x14ac:dyDescent="0.3">
      <c r="A1266" s="1">
        <v>43875</v>
      </c>
      <c r="B1266">
        <v>27815.599609000001</v>
      </c>
      <c r="C1266">
        <f t="shared" si="24"/>
        <v>10.233352279314614</v>
      </c>
    </row>
    <row r="1267" spans="1:3" x14ac:dyDescent="0.3">
      <c r="A1267" s="1">
        <v>43878</v>
      </c>
      <c r="B1267">
        <v>27959.599609000001</v>
      </c>
      <c r="C1267">
        <f t="shared" si="24"/>
        <v>10.238515876109304</v>
      </c>
    </row>
    <row r="1268" spans="1:3" x14ac:dyDescent="0.3">
      <c r="A1268" s="1">
        <v>43879</v>
      </c>
      <c r="B1268">
        <v>27530.199218999998</v>
      </c>
      <c r="C1268">
        <f t="shared" si="24"/>
        <v>10.223038834543452</v>
      </c>
    </row>
    <row r="1269" spans="1:3" x14ac:dyDescent="0.3">
      <c r="A1269" s="1">
        <v>43880</v>
      </c>
      <c r="B1269">
        <v>27655.810547000001</v>
      </c>
      <c r="C1269">
        <f t="shared" si="24"/>
        <v>10.227591131238107</v>
      </c>
    </row>
    <row r="1270" spans="1:3" x14ac:dyDescent="0.3">
      <c r="A1270" s="1">
        <v>43881</v>
      </c>
      <c r="B1270">
        <v>27609.160156000002</v>
      </c>
      <c r="C1270">
        <f t="shared" si="24"/>
        <v>10.225902886352179</v>
      </c>
    </row>
    <row r="1271" spans="1:3" x14ac:dyDescent="0.3">
      <c r="A1271" s="1">
        <v>43882</v>
      </c>
      <c r="B1271">
        <v>27308.810547000001</v>
      </c>
      <c r="C1271">
        <f t="shared" si="24"/>
        <v>10.214964659766055</v>
      </c>
    </row>
    <row r="1272" spans="1:3" x14ac:dyDescent="0.3">
      <c r="A1272" s="1">
        <v>43885</v>
      </c>
      <c r="B1272">
        <v>26820.880859000001</v>
      </c>
      <c r="C1272">
        <f t="shared" si="24"/>
        <v>10.1969359996595</v>
      </c>
    </row>
    <row r="1273" spans="1:3" x14ac:dyDescent="0.3">
      <c r="A1273" s="1">
        <v>43886</v>
      </c>
      <c r="B1273">
        <v>26893.230468999998</v>
      </c>
      <c r="C1273">
        <f t="shared" si="24"/>
        <v>10.19962987849188</v>
      </c>
    </row>
    <row r="1274" spans="1:3" x14ac:dyDescent="0.3">
      <c r="A1274" s="1">
        <v>43887</v>
      </c>
      <c r="B1274">
        <v>26696.490234000001</v>
      </c>
      <c r="C1274">
        <f t="shared" si="24"/>
        <v>10.19228738383767</v>
      </c>
    </row>
    <row r="1275" spans="1:3" x14ac:dyDescent="0.3">
      <c r="A1275" s="1">
        <v>43888</v>
      </c>
      <c r="B1275">
        <v>26778.619140999999</v>
      </c>
      <c r="C1275">
        <f t="shared" si="24"/>
        <v>10.195359054846287</v>
      </c>
    </row>
    <row r="1276" spans="1:3" x14ac:dyDescent="0.3">
      <c r="A1276" s="1">
        <v>43889</v>
      </c>
      <c r="B1276">
        <v>26129.929688</v>
      </c>
      <c r="C1276">
        <f t="shared" si="24"/>
        <v>10.170836667657612</v>
      </c>
    </row>
    <row r="1277" spans="1:3" x14ac:dyDescent="0.3">
      <c r="A1277" s="1">
        <v>43892</v>
      </c>
      <c r="B1277">
        <v>26291.679688</v>
      </c>
      <c r="C1277">
        <f t="shared" si="24"/>
        <v>10.177007806439942</v>
      </c>
    </row>
    <row r="1278" spans="1:3" x14ac:dyDescent="0.3">
      <c r="A1278" s="1">
        <v>43893</v>
      </c>
      <c r="B1278">
        <v>26284.820313</v>
      </c>
      <c r="C1278">
        <f t="shared" si="24"/>
        <v>10.17674687712594</v>
      </c>
    </row>
    <row r="1279" spans="1:3" x14ac:dyDescent="0.3">
      <c r="A1279" s="1">
        <v>43894</v>
      </c>
      <c r="B1279">
        <v>26222.070313</v>
      </c>
      <c r="C1279">
        <f t="shared" si="24"/>
        <v>10.174356713506443</v>
      </c>
    </row>
    <row r="1280" spans="1:3" x14ac:dyDescent="0.3">
      <c r="A1280" s="1">
        <v>43895</v>
      </c>
      <c r="B1280">
        <v>26767.869140999999</v>
      </c>
      <c r="C1280">
        <f t="shared" si="24"/>
        <v>10.194957534578972</v>
      </c>
    </row>
    <row r="1281" spans="1:3" x14ac:dyDescent="0.3">
      <c r="A1281" s="1">
        <v>43896</v>
      </c>
      <c r="B1281">
        <v>26146.669922000001</v>
      </c>
      <c r="C1281">
        <f t="shared" si="24"/>
        <v>10.17147711614497</v>
      </c>
    </row>
    <row r="1282" spans="1:3" x14ac:dyDescent="0.3">
      <c r="A1282" s="1">
        <v>43899</v>
      </c>
      <c r="B1282">
        <v>25040.460938</v>
      </c>
      <c r="C1282">
        <f t="shared" si="24"/>
        <v>10.128248233111702</v>
      </c>
    </row>
    <row r="1283" spans="1:3" x14ac:dyDescent="0.3">
      <c r="A1283" s="1">
        <v>43900</v>
      </c>
      <c r="B1283">
        <v>25392.509765999999</v>
      </c>
      <c r="C1283">
        <f t="shared" si="24"/>
        <v>10.142209518415335</v>
      </c>
    </row>
    <row r="1284" spans="1:3" x14ac:dyDescent="0.3">
      <c r="A1284" s="1">
        <v>43901</v>
      </c>
      <c r="B1284">
        <v>25231.609375</v>
      </c>
      <c r="C1284">
        <f t="shared" si="24"/>
        <v>10.135852827749755</v>
      </c>
    </row>
    <row r="1285" spans="1:3" x14ac:dyDescent="0.3">
      <c r="A1285" s="1">
        <v>43902</v>
      </c>
      <c r="B1285">
        <v>24309.070313</v>
      </c>
      <c r="C1285">
        <f t="shared" si="24"/>
        <v>10.098604823592462</v>
      </c>
    </row>
    <row r="1286" spans="1:3" x14ac:dyDescent="0.3">
      <c r="A1286" s="1">
        <v>43903</v>
      </c>
      <c r="B1286">
        <v>24032.910156000002</v>
      </c>
      <c r="C1286">
        <f t="shared" si="24"/>
        <v>10.087179426516483</v>
      </c>
    </row>
    <row r="1287" spans="1:3" x14ac:dyDescent="0.3">
      <c r="A1287" s="1">
        <v>43906</v>
      </c>
      <c r="B1287">
        <v>23063.570313</v>
      </c>
      <c r="C1287">
        <f t="shared" ref="C1287:C1350" si="25">LN(B1287)</f>
        <v>10.04600960894178</v>
      </c>
    </row>
    <row r="1288" spans="1:3" x14ac:dyDescent="0.3">
      <c r="A1288" s="1">
        <v>43907</v>
      </c>
      <c r="B1288">
        <v>23263.730468999998</v>
      </c>
      <c r="C1288">
        <f t="shared" si="25"/>
        <v>10.054650794511316</v>
      </c>
    </row>
    <row r="1289" spans="1:3" x14ac:dyDescent="0.3">
      <c r="A1289" s="1">
        <v>43908</v>
      </c>
      <c r="B1289">
        <v>22291.820313</v>
      </c>
      <c r="C1289">
        <f t="shared" si="25"/>
        <v>10.011975088052239</v>
      </c>
    </row>
    <row r="1290" spans="1:3" x14ac:dyDescent="0.3">
      <c r="A1290" s="1">
        <v>43909</v>
      </c>
      <c r="B1290">
        <v>21709.130859000001</v>
      </c>
      <c r="C1290">
        <f t="shared" si="25"/>
        <v>9.9854882279392143</v>
      </c>
    </row>
    <row r="1291" spans="1:3" x14ac:dyDescent="0.3">
      <c r="A1291" s="1">
        <v>43910</v>
      </c>
      <c r="B1291">
        <v>22805.070313</v>
      </c>
      <c r="C1291">
        <f t="shared" si="25"/>
        <v>10.03473817236841</v>
      </c>
    </row>
    <row r="1292" spans="1:3" x14ac:dyDescent="0.3">
      <c r="A1292" s="1">
        <v>43913</v>
      </c>
      <c r="B1292">
        <v>21696.130859000001</v>
      </c>
      <c r="C1292">
        <f t="shared" si="25"/>
        <v>9.9848892222023906</v>
      </c>
    </row>
    <row r="1293" spans="1:3" x14ac:dyDescent="0.3">
      <c r="A1293" s="1">
        <v>43914</v>
      </c>
      <c r="B1293">
        <v>22663.490234000001</v>
      </c>
      <c r="C1293">
        <f t="shared" si="25"/>
        <v>10.02851054893477</v>
      </c>
    </row>
    <row r="1294" spans="1:3" x14ac:dyDescent="0.3">
      <c r="A1294" s="1">
        <v>43915</v>
      </c>
      <c r="B1294">
        <v>23527.189452999999</v>
      </c>
      <c r="C1294">
        <f t="shared" si="25"/>
        <v>10.065912029325887</v>
      </c>
    </row>
    <row r="1295" spans="1:3" x14ac:dyDescent="0.3">
      <c r="A1295" s="1">
        <v>43916</v>
      </c>
      <c r="B1295">
        <v>23352.339843999998</v>
      </c>
      <c r="C1295">
        <f t="shared" si="25"/>
        <v>10.058452465528433</v>
      </c>
    </row>
    <row r="1296" spans="1:3" x14ac:dyDescent="0.3">
      <c r="A1296" s="1">
        <v>43917</v>
      </c>
      <c r="B1296">
        <v>23484.279297000001</v>
      </c>
      <c r="C1296">
        <f t="shared" si="25"/>
        <v>10.064086510189492</v>
      </c>
    </row>
    <row r="1297" spans="1:3" x14ac:dyDescent="0.3">
      <c r="A1297" s="1">
        <v>43920</v>
      </c>
      <c r="B1297">
        <v>23175.109375</v>
      </c>
      <c r="C1297">
        <f t="shared" si="25"/>
        <v>10.050834109948269</v>
      </c>
    </row>
    <row r="1298" spans="1:3" x14ac:dyDescent="0.3">
      <c r="A1298" s="1">
        <v>43921</v>
      </c>
      <c r="B1298">
        <v>23603.480468999998</v>
      </c>
      <c r="C1298">
        <f t="shared" si="25"/>
        <v>10.069149457639964</v>
      </c>
    </row>
    <row r="1299" spans="1:3" x14ac:dyDescent="0.3">
      <c r="A1299" s="1">
        <v>43922</v>
      </c>
      <c r="B1299">
        <v>23085.789063</v>
      </c>
      <c r="C1299">
        <f t="shared" si="25"/>
        <v>10.046972515123672</v>
      </c>
    </row>
    <row r="1300" spans="1:3" x14ac:dyDescent="0.3">
      <c r="A1300" s="1">
        <v>43923</v>
      </c>
      <c r="B1300">
        <v>23280.060547000001</v>
      </c>
      <c r="C1300">
        <f t="shared" si="25"/>
        <v>10.055352502658144</v>
      </c>
    </row>
    <row r="1301" spans="1:3" x14ac:dyDescent="0.3">
      <c r="A1301" s="1">
        <v>43924</v>
      </c>
      <c r="B1301">
        <v>23236.109375</v>
      </c>
      <c r="C1301">
        <f t="shared" si="25"/>
        <v>10.053462786236825</v>
      </c>
    </row>
    <row r="1302" spans="1:3" x14ac:dyDescent="0.3">
      <c r="A1302" s="1">
        <v>43927</v>
      </c>
      <c r="B1302">
        <v>23749.119140999999</v>
      </c>
      <c r="C1302">
        <f t="shared" si="25"/>
        <v>10.075300719974981</v>
      </c>
    </row>
    <row r="1303" spans="1:3" x14ac:dyDescent="0.3">
      <c r="A1303" s="1">
        <v>43928</v>
      </c>
      <c r="B1303">
        <v>24253.289063</v>
      </c>
      <c r="C1303">
        <f t="shared" si="25"/>
        <v>10.096307518632431</v>
      </c>
    </row>
    <row r="1304" spans="1:3" x14ac:dyDescent="0.3">
      <c r="A1304" s="1">
        <v>43929</v>
      </c>
      <c r="B1304">
        <v>23970.369140999999</v>
      </c>
      <c r="C1304">
        <f t="shared" si="25"/>
        <v>10.084573727435005</v>
      </c>
    </row>
    <row r="1305" spans="1:3" x14ac:dyDescent="0.3">
      <c r="A1305" s="1">
        <v>43930</v>
      </c>
      <c r="B1305">
        <v>24300.330077999999</v>
      </c>
      <c r="C1305">
        <f t="shared" si="25"/>
        <v>10.098245212693175</v>
      </c>
    </row>
    <row r="1306" spans="1:3" x14ac:dyDescent="0.3">
      <c r="A1306" s="1">
        <v>43935</v>
      </c>
      <c r="B1306">
        <v>24435.400390999999</v>
      </c>
      <c r="C1306">
        <f t="shared" si="25"/>
        <v>10.103788195532765</v>
      </c>
    </row>
    <row r="1307" spans="1:3" x14ac:dyDescent="0.3">
      <c r="A1307" s="1">
        <v>43936</v>
      </c>
      <c r="B1307">
        <v>24145.339843999998</v>
      </c>
      <c r="C1307">
        <f t="shared" si="25"/>
        <v>10.091846673338015</v>
      </c>
    </row>
    <row r="1308" spans="1:3" x14ac:dyDescent="0.3">
      <c r="A1308" s="1">
        <v>43937</v>
      </c>
      <c r="B1308">
        <v>24006.449218999998</v>
      </c>
      <c r="C1308">
        <f t="shared" si="25"/>
        <v>10.086077790690346</v>
      </c>
    </row>
    <row r="1309" spans="1:3" x14ac:dyDescent="0.3">
      <c r="A1309" s="1">
        <v>43938</v>
      </c>
      <c r="B1309">
        <v>24380</v>
      </c>
      <c r="C1309">
        <f t="shared" si="25"/>
        <v>10.101518403035262</v>
      </c>
    </row>
    <row r="1310" spans="1:3" x14ac:dyDescent="0.3">
      <c r="A1310" s="1">
        <v>43941</v>
      </c>
      <c r="B1310">
        <v>24330.019531000002</v>
      </c>
      <c r="C1310">
        <f t="shared" si="25"/>
        <v>10.099466238531049</v>
      </c>
    </row>
    <row r="1311" spans="1:3" x14ac:dyDescent="0.3">
      <c r="A1311" s="1">
        <v>43942</v>
      </c>
      <c r="B1311">
        <v>23793.550781000002</v>
      </c>
      <c r="C1311">
        <f t="shared" si="25"/>
        <v>10.077169847350813</v>
      </c>
    </row>
    <row r="1312" spans="1:3" x14ac:dyDescent="0.3">
      <c r="A1312" s="1">
        <v>43943</v>
      </c>
      <c r="B1312">
        <v>23893.359375</v>
      </c>
      <c r="C1312">
        <f t="shared" si="25"/>
        <v>10.081355848893613</v>
      </c>
    </row>
    <row r="1313" spans="1:3" x14ac:dyDescent="0.3">
      <c r="A1313" s="1">
        <v>43944</v>
      </c>
      <c r="B1313">
        <v>23977.320313</v>
      </c>
      <c r="C1313">
        <f t="shared" si="25"/>
        <v>10.084863675590082</v>
      </c>
    </row>
    <row r="1314" spans="1:3" x14ac:dyDescent="0.3">
      <c r="A1314" s="1">
        <v>43945</v>
      </c>
      <c r="B1314">
        <v>23831.330077999999</v>
      </c>
      <c r="C1314">
        <f t="shared" si="25"/>
        <v>10.078756383810036</v>
      </c>
    </row>
    <row r="1315" spans="1:3" x14ac:dyDescent="0.3">
      <c r="A1315" s="1">
        <v>43948</v>
      </c>
      <c r="B1315">
        <v>24280.140625</v>
      </c>
      <c r="C1315">
        <f t="shared" si="25"/>
        <v>10.097414036960616</v>
      </c>
    </row>
    <row r="1316" spans="1:3" x14ac:dyDescent="0.3">
      <c r="A1316" s="1">
        <v>43949</v>
      </c>
      <c r="B1316">
        <v>24575.960938</v>
      </c>
      <c r="C1316">
        <f t="shared" si="25"/>
        <v>10.109524046509287</v>
      </c>
    </row>
    <row r="1317" spans="1:3" x14ac:dyDescent="0.3">
      <c r="A1317" s="1">
        <v>43950</v>
      </c>
      <c r="B1317">
        <v>24643.589843999998</v>
      </c>
      <c r="C1317">
        <f t="shared" si="25"/>
        <v>10.112272098756227</v>
      </c>
    </row>
    <row r="1318" spans="1:3" x14ac:dyDescent="0.3">
      <c r="A1318" s="1">
        <v>43955</v>
      </c>
      <c r="B1318">
        <v>23613.800781000002</v>
      </c>
      <c r="C1318">
        <f t="shared" si="25"/>
        <v>10.069586598953107</v>
      </c>
    </row>
    <row r="1319" spans="1:3" x14ac:dyDescent="0.3">
      <c r="A1319" s="1">
        <v>43956</v>
      </c>
      <c r="B1319">
        <v>23868.660156000002</v>
      </c>
      <c r="C1319">
        <f t="shared" si="25"/>
        <v>10.080321586881903</v>
      </c>
    </row>
    <row r="1320" spans="1:3" x14ac:dyDescent="0.3">
      <c r="A1320" s="1">
        <v>43957</v>
      </c>
      <c r="B1320">
        <v>24137.480468999998</v>
      </c>
      <c r="C1320">
        <f t="shared" si="25"/>
        <v>10.091521117580564</v>
      </c>
    </row>
    <row r="1321" spans="1:3" x14ac:dyDescent="0.3">
      <c r="A1321" s="1">
        <v>43958</v>
      </c>
      <c r="B1321">
        <v>23980.630859000001</v>
      </c>
      <c r="C1321">
        <f t="shared" si="25"/>
        <v>10.085001735950225</v>
      </c>
    </row>
    <row r="1322" spans="1:3" x14ac:dyDescent="0.3">
      <c r="A1322" s="1">
        <v>43959</v>
      </c>
      <c r="B1322">
        <v>24230.169922000001</v>
      </c>
      <c r="C1322">
        <f t="shared" si="25"/>
        <v>10.095353826662581</v>
      </c>
    </row>
    <row r="1323" spans="1:3" x14ac:dyDescent="0.3">
      <c r="A1323" s="1">
        <v>43962</v>
      </c>
      <c r="B1323">
        <v>24602.060547000001</v>
      </c>
      <c r="C1323">
        <f t="shared" si="25"/>
        <v>10.110585480485778</v>
      </c>
    </row>
    <row r="1324" spans="1:3" x14ac:dyDescent="0.3">
      <c r="A1324" s="1">
        <v>43963</v>
      </c>
      <c r="B1324">
        <v>24245.679688</v>
      </c>
      <c r="C1324">
        <f t="shared" si="25"/>
        <v>10.095993723297875</v>
      </c>
    </row>
    <row r="1325" spans="1:3" x14ac:dyDescent="0.3">
      <c r="A1325" s="1">
        <v>43964</v>
      </c>
      <c r="B1325">
        <v>24180.300781000002</v>
      </c>
      <c r="C1325">
        <f t="shared" si="25"/>
        <v>10.09329356333873</v>
      </c>
    </row>
    <row r="1326" spans="1:3" x14ac:dyDescent="0.3">
      <c r="A1326" s="1">
        <v>43965</v>
      </c>
      <c r="B1326">
        <v>23829.740234000001</v>
      </c>
      <c r="C1326">
        <f t="shared" si="25"/>
        <v>10.078689669236059</v>
      </c>
    </row>
    <row r="1327" spans="1:3" x14ac:dyDescent="0.3">
      <c r="A1327" s="1">
        <v>43966</v>
      </c>
      <c r="B1327">
        <v>23797.470702999999</v>
      </c>
      <c r="C1327">
        <f t="shared" si="25"/>
        <v>10.077334581029</v>
      </c>
    </row>
    <row r="1328" spans="1:3" x14ac:dyDescent="0.3">
      <c r="A1328" s="1">
        <v>43969</v>
      </c>
      <c r="B1328">
        <v>23934.769531000002</v>
      </c>
      <c r="C1328">
        <f t="shared" si="25"/>
        <v>10.083087472826834</v>
      </c>
    </row>
    <row r="1329" spans="1:3" x14ac:dyDescent="0.3">
      <c r="A1329" s="1">
        <v>43970</v>
      </c>
      <c r="B1329">
        <v>24388.130859000001</v>
      </c>
      <c r="C1329">
        <f t="shared" si="25"/>
        <v>10.101851852725957</v>
      </c>
    </row>
    <row r="1330" spans="1:3" x14ac:dyDescent="0.3">
      <c r="A1330" s="1">
        <v>43971</v>
      </c>
      <c r="B1330">
        <v>24399.949218999998</v>
      </c>
      <c r="C1330">
        <f t="shared" si="25"/>
        <v>10.102336330090603</v>
      </c>
    </row>
    <row r="1331" spans="1:3" x14ac:dyDescent="0.3">
      <c r="A1331" s="1">
        <v>43972</v>
      </c>
      <c r="B1331">
        <v>24280.029297000001</v>
      </c>
      <c r="C1331">
        <f t="shared" si="25"/>
        <v>10.097409451803678</v>
      </c>
    </row>
    <row r="1332" spans="1:3" x14ac:dyDescent="0.3">
      <c r="A1332" s="1">
        <v>43973</v>
      </c>
      <c r="B1332">
        <v>22930.140625</v>
      </c>
      <c r="C1332">
        <f t="shared" si="25"/>
        <v>10.040207508628608</v>
      </c>
    </row>
    <row r="1333" spans="1:3" x14ac:dyDescent="0.3">
      <c r="A1333" s="1">
        <v>43976</v>
      </c>
      <c r="B1333">
        <v>22952.240234000001</v>
      </c>
      <c r="C1333">
        <f t="shared" si="25"/>
        <v>10.041170824406702</v>
      </c>
    </row>
    <row r="1334" spans="1:3" x14ac:dyDescent="0.3">
      <c r="A1334" s="1">
        <v>43977</v>
      </c>
      <c r="B1334">
        <v>23384.660156000002</v>
      </c>
      <c r="C1334">
        <f t="shared" si="25"/>
        <v>10.059835537490779</v>
      </c>
    </row>
    <row r="1335" spans="1:3" x14ac:dyDescent="0.3">
      <c r="A1335" s="1">
        <v>43978</v>
      </c>
      <c r="B1335">
        <v>23301.359375</v>
      </c>
      <c r="C1335">
        <f t="shared" si="25"/>
        <v>10.056266980126626</v>
      </c>
    </row>
    <row r="1336" spans="1:3" x14ac:dyDescent="0.3">
      <c r="A1336" s="1">
        <v>43979</v>
      </c>
      <c r="B1336">
        <v>23132.759765999999</v>
      </c>
      <c r="C1336">
        <f t="shared" si="25"/>
        <v>10.049005063542465</v>
      </c>
    </row>
    <row r="1337" spans="1:3" x14ac:dyDescent="0.3">
      <c r="A1337" s="1">
        <v>43980</v>
      </c>
      <c r="B1337">
        <v>22961.470702999999</v>
      </c>
      <c r="C1337">
        <f t="shared" si="25"/>
        <v>10.041572903390779</v>
      </c>
    </row>
    <row r="1338" spans="1:3" x14ac:dyDescent="0.3">
      <c r="A1338" s="1">
        <v>43983</v>
      </c>
      <c r="B1338">
        <v>23732.519531000002</v>
      </c>
      <c r="C1338">
        <f t="shared" si="25"/>
        <v>10.074601518719904</v>
      </c>
    </row>
    <row r="1339" spans="1:3" x14ac:dyDescent="0.3">
      <c r="A1339" s="1">
        <v>43984</v>
      </c>
      <c r="B1339">
        <v>23995.939452999999</v>
      </c>
      <c r="C1339">
        <f t="shared" si="25"/>
        <v>10.085639905557599</v>
      </c>
    </row>
    <row r="1340" spans="1:3" x14ac:dyDescent="0.3">
      <c r="A1340" s="1">
        <v>43985</v>
      </c>
      <c r="B1340">
        <v>24325.619140999999</v>
      </c>
      <c r="C1340">
        <f t="shared" si="25"/>
        <v>10.099285359597708</v>
      </c>
    </row>
    <row r="1341" spans="1:3" x14ac:dyDescent="0.3">
      <c r="A1341" s="1">
        <v>43986</v>
      </c>
      <c r="B1341">
        <v>24366.300781000002</v>
      </c>
      <c r="C1341">
        <f t="shared" si="25"/>
        <v>10.100956341129388</v>
      </c>
    </row>
    <row r="1342" spans="1:3" x14ac:dyDescent="0.3">
      <c r="A1342" s="1">
        <v>43987</v>
      </c>
      <c r="B1342">
        <v>24770.410156000002</v>
      </c>
      <c r="C1342">
        <f t="shared" si="25"/>
        <v>10.11740508092524</v>
      </c>
    </row>
    <row r="1343" spans="1:3" x14ac:dyDescent="0.3">
      <c r="A1343" s="1">
        <v>43990</v>
      </c>
      <c r="B1343">
        <v>24776.769531000002</v>
      </c>
      <c r="C1343">
        <f t="shared" si="25"/>
        <v>10.11766178070412</v>
      </c>
    </row>
    <row r="1344" spans="1:3" x14ac:dyDescent="0.3">
      <c r="A1344" s="1">
        <v>43991</v>
      </c>
      <c r="B1344">
        <v>25057.220702999999</v>
      </c>
      <c r="C1344">
        <f t="shared" si="25"/>
        <v>10.128917316593261</v>
      </c>
    </row>
    <row r="1345" spans="1:3" x14ac:dyDescent="0.3">
      <c r="A1345" s="1">
        <v>43992</v>
      </c>
      <c r="B1345">
        <v>25049.730468999998</v>
      </c>
      <c r="C1345">
        <f t="shared" si="25"/>
        <v>10.128618346734566</v>
      </c>
    </row>
    <row r="1346" spans="1:3" x14ac:dyDescent="0.3">
      <c r="A1346" s="1">
        <v>43993</v>
      </c>
      <c r="B1346">
        <v>24480.150390999999</v>
      </c>
      <c r="C1346">
        <f t="shared" si="25"/>
        <v>10.105617880030595</v>
      </c>
    </row>
    <row r="1347" spans="1:3" x14ac:dyDescent="0.3">
      <c r="A1347" s="1">
        <v>43994</v>
      </c>
      <c r="B1347">
        <v>24301.380859000001</v>
      </c>
      <c r="C1347">
        <f t="shared" si="25"/>
        <v>10.098288453187385</v>
      </c>
    </row>
    <row r="1348" spans="1:3" x14ac:dyDescent="0.3">
      <c r="A1348" s="1">
        <v>43997</v>
      </c>
      <c r="B1348">
        <v>23776.949218999998</v>
      </c>
      <c r="C1348">
        <f t="shared" si="25"/>
        <v>10.07647187013073</v>
      </c>
    </row>
    <row r="1349" spans="1:3" x14ac:dyDescent="0.3">
      <c r="A1349" s="1">
        <v>43998</v>
      </c>
      <c r="B1349">
        <v>24344.089843999998</v>
      </c>
      <c r="C1349">
        <f t="shared" si="25"/>
        <v>10.100044382171378</v>
      </c>
    </row>
    <row r="1350" spans="1:3" x14ac:dyDescent="0.3">
      <c r="A1350" s="1">
        <v>43999</v>
      </c>
      <c r="B1350">
        <v>24481.410156000002</v>
      </c>
      <c r="C1350">
        <f t="shared" si="25"/>
        <v>10.105669339378958</v>
      </c>
    </row>
    <row r="1351" spans="1:3" x14ac:dyDescent="0.3">
      <c r="A1351" s="1">
        <v>44000</v>
      </c>
      <c r="B1351">
        <v>24464.939452999999</v>
      </c>
      <c r="C1351">
        <f t="shared" ref="C1351:C1414" si="26">LN(B1351)</f>
        <v>10.104996328878551</v>
      </c>
    </row>
    <row r="1352" spans="1:3" x14ac:dyDescent="0.3">
      <c r="A1352" s="1">
        <v>44001</v>
      </c>
      <c r="B1352">
        <v>24643.890625</v>
      </c>
      <c r="C1352">
        <f t="shared" si="26"/>
        <v>10.112284303924644</v>
      </c>
    </row>
    <row r="1353" spans="1:3" x14ac:dyDescent="0.3">
      <c r="A1353" s="1">
        <v>44004</v>
      </c>
      <c r="B1353">
        <v>24511.339843999998</v>
      </c>
      <c r="C1353">
        <f t="shared" si="26"/>
        <v>10.106891140225949</v>
      </c>
    </row>
    <row r="1354" spans="1:3" x14ac:dyDescent="0.3">
      <c r="A1354" s="1">
        <v>44005</v>
      </c>
      <c r="B1354">
        <v>24907.339843999998</v>
      </c>
      <c r="C1354">
        <f t="shared" si="26"/>
        <v>10.122917811867223</v>
      </c>
    </row>
    <row r="1355" spans="1:3" x14ac:dyDescent="0.3">
      <c r="A1355" s="1">
        <v>44006</v>
      </c>
      <c r="B1355">
        <v>24781.580077999999</v>
      </c>
      <c r="C1355">
        <f t="shared" si="26"/>
        <v>10.117855917395639</v>
      </c>
    </row>
    <row r="1356" spans="1:3" x14ac:dyDescent="0.3">
      <c r="A1356" s="1">
        <v>44008</v>
      </c>
      <c r="B1356">
        <v>24549.990234000001</v>
      </c>
      <c r="C1356">
        <f t="shared" si="26"/>
        <v>10.10846673542218</v>
      </c>
    </row>
    <row r="1357" spans="1:3" x14ac:dyDescent="0.3">
      <c r="A1357" s="1">
        <v>44011</v>
      </c>
      <c r="B1357">
        <v>24301.279297000001</v>
      </c>
      <c r="C1357">
        <f t="shared" si="26"/>
        <v>10.098284273909968</v>
      </c>
    </row>
    <row r="1358" spans="1:3" x14ac:dyDescent="0.3">
      <c r="A1358" s="1">
        <v>44012</v>
      </c>
      <c r="B1358">
        <v>24427.189452999999</v>
      </c>
      <c r="C1358">
        <f t="shared" si="26"/>
        <v>10.103452112729807</v>
      </c>
    </row>
    <row r="1359" spans="1:3" x14ac:dyDescent="0.3">
      <c r="A1359" s="1">
        <v>44014</v>
      </c>
      <c r="B1359">
        <v>25124.189452999999</v>
      </c>
      <c r="C1359">
        <f t="shared" si="26"/>
        <v>10.131586384263878</v>
      </c>
    </row>
    <row r="1360" spans="1:3" x14ac:dyDescent="0.3">
      <c r="A1360" s="1">
        <v>44015</v>
      </c>
      <c r="B1360">
        <v>25373.119140999999</v>
      </c>
      <c r="C1360">
        <f t="shared" si="26"/>
        <v>10.141445591074712</v>
      </c>
    </row>
    <row r="1361" spans="1:3" x14ac:dyDescent="0.3">
      <c r="A1361" s="1">
        <v>44018</v>
      </c>
      <c r="B1361">
        <v>26339.160156000002</v>
      </c>
      <c r="C1361">
        <f t="shared" si="26"/>
        <v>10.178812090050902</v>
      </c>
    </row>
    <row r="1362" spans="1:3" x14ac:dyDescent="0.3">
      <c r="A1362" s="1">
        <v>44019</v>
      </c>
      <c r="B1362">
        <v>25975.660156000002</v>
      </c>
      <c r="C1362">
        <f t="shared" si="26"/>
        <v>10.164915230697407</v>
      </c>
    </row>
    <row r="1363" spans="1:3" x14ac:dyDescent="0.3">
      <c r="A1363" s="1">
        <v>44020</v>
      </c>
      <c r="B1363">
        <v>26129.179688</v>
      </c>
      <c r="C1363">
        <f t="shared" si="26"/>
        <v>10.170807964527803</v>
      </c>
    </row>
    <row r="1364" spans="1:3" x14ac:dyDescent="0.3">
      <c r="A1364" s="1">
        <v>44021</v>
      </c>
      <c r="B1364">
        <v>26210.160156000002</v>
      </c>
      <c r="C1364">
        <f t="shared" si="26"/>
        <v>10.173902406790962</v>
      </c>
    </row>
    <row r="1365" spans="1:3" x14ac:dyDescent="0.3">
      <c r="A1365" s="1">
        <v>44022</v>
      </c>
      <c r="B1365">
        <v>25727.410156000002</v>
      </c>
      <c r="C1365">
        <f t="shared" si="26"/>
        <v>10.155312245565387</v>
      </c>
    </row>
    <row r="1366" spans="1:3" x14ac:dyDescent="0.3">
      <c r="A1366" s="1">
        <v>44025</v>
      </c>
      <c r="B1366">
        <v>25772.119140999999</v>
      </c>
      <c r="C1366">
        <f t="shared" si="26"/>
        <v>10.15704853313315</v>
      </c>
    </row>
    <row r="1367" spans="1:3" x14ac:dyDescent="0.3">
      <c r="A1367" s="1">
        <v>44026</v>
      </c>
      <c r="B1367">
        <v>25477.890625</v>
      </c>
      <c r="C1367">
        <f t="shared" si="26"/>
        <v>10.145566320741136</v>
      </c>
    </row>
    <row r="1368" spans="1:3" x14ac:dyDescent="0.3">
      <c r="A1368" s="1">
        <v>44027</v>
      </c>
      <c r="B1368">
        <v>25481.580077999999</v>
      </c>
      <c r="C1368">
        <f t="shared" si="26"/>
        <v>10.145711120243782</v>
      </c>
    </row>
    <row r="1369" spans="1:3" x14ac:dyDescent="0.3">
      <c r="A1369" s="1">
        <v>44028</v>
      </c>
      <c r="B1369">
        <v>24970.689452999999</v>
      </c>
      <c r="C1369">
        <f t="shared" si="26"/>
        <v>10.125457994146139</v>
      </c>
    </row>
    <row r="1370" spans="1:3" x14ac:dyDescent="0.3">
      <c r="A1370" s="1">
        <v>44029</v>
      </c>
      <c r="B1370">
        <v>25089.169922000001</v>
      </c>
      <c r="C1370">
        <f t="shared" si="26"/>
        <v>10.130191554795642</v>
      </c>
    </row>
    <row r="1371" spans="1:3" x14ac:dyDescent="0.3">
      <c r="A1371" s="1">
        <v>44032</v>
      </c>
      <c r="B1371">
        <v>25057.990234000001</v>
      </c>
      <c r="C1371">
        <f t="shared" si="26"/>
        <v>10.12894802706961</v>
      </c>
    </row>
    <row r="1372" spans="1:3" x14ac:dyDescent="0.3">
      <c r="A1372" s="1">
        <v>44033</v>
      </c>
      <c r="B1372">
        <v>25635.660156000002</v>
      </c>
      <c r="C1372">
        <f t="shared" si="26"/>
        <v>10.151739636021972</v>
      </c>
    </row>
    <row r="1373" spans="1:3" x14ac:dyDescent="0.3">
      <c r="A1373" s="1">
        <v>44034</v>
      </c>
      <c r="B1373">
        <v>25057.939452999999</v>
      </c>
      <c r="C1373">
        <f t="shared" si="26"/>
        <v>10.128946000528336</v>
      </c>
    </row>
    <row r="1374" spans="1:3" x14ac:dyDescent="0.3">
      <c r="A1374" s="1">
        <v>44035</v>
      </c>
      <c r="B1374">
        <v>25263</v>
      </c>
      <c r="C1374">
        <f t="shared" si="26"/>
        <v>10.137096153698101</v>
      </c>
    </row>
    <row r="1375" spans="1:3" x14ac:dyDescent="0.3">
      <c r="A1375" s="1">
        <v>44036</v>
      </c>
      <c r="B1375">
        <v>24705.330077999999</v>
      </c>
      <c r="C1375">
        <f t="shared" si="26"/>
        <v>10.114774291967766</v>
      </c>
    </row>
    <row r="1376" spans="1:3" x14ac:dyDescent="0.3">
      <c r="A1376" s="1">
        <v>44039</v>
      </c>
      <c r="B1376">
        <v>24603.259765999999</v>
      </c>
      <c r="C1376">
        <f t="shared" si="26"/>
        <v>10.11063422395468</v>
      </c>
    </row>
    <row r="1377" spans="1:3" x14ac:dyDescent="0.3">
      <c r="A1377" s="1">
        <v>44040</v>
      </c>
      <c r="B1377">
        <v>24772.759765999999</v>
      </c>
      <c r="C1377">
        <f t="shared" si="26"/>
        <v>10.117499931941252</v>
      </c>
    </row>
    <row r="1378" spans="1:3" x14ac:dyDescent="0.3">
      <c r="A1378" s="1">
        <v>44041</v>
      </c>
      <c r="B1378">
        <v>24883.140625</v>
      </c>
      <c r="C1378">
        <f t="shared" si="26"/>
        <v>10.121945769795024</v>
      </c>
    </row>
    <row r="1379" spans="1:3" x14ac:dyDescent="0.3">
      <c r="A1379" s="1">
        <v>44042</v>
      </c>
      <c r="B1379">
        <v>24710.589843999998</v>
      </c>
      <c r="C1379">
        <f t="shared" si="26"/>
        <v>10.114987169357407</v>
      </c>
    </row>
    <row r="1380" spans="1:3" x14ac:dyDescent="0.3">
      <c r="A1380" s="1">
        <v>44043</v>
      </c>
      <c r="B1380">
        <v>24595.349609000001</v>
      </c>
      <c r="C1380">
        <f t="shared" si="26"/>
        <v>10.110312663765535</v>
      </c>
    </row>
    <row r="1381" spans="1:3" x14ac:dyDescent="0.3">
      <c r="A1381" s="1">
        <v>44046</v>
      </c>
      <c r="B1381">
        <v>24458.130859000001</v>
      </c>
      <c r="C1381">
        <f t="shared" si="26"/>
        <v>10.104717990090714</v>
      </c>
    </row>
    <row r="1382" spans="1:3" x14ac:dyDescent="0.3">
      <c r="A1382" s="1">
        <v>44047</v>
      </c>
      <c r="B1382">
        <v>24946.630859000001</v>
      </c>
      <c r="C1382">
        <f t="shared" si="26"/>
        <v>10.1244940563501</v>
      </c>
    </row>
    <row r="1383" spans="1:3" x14ac:dyDescent="0.3">
      <c r="A1383" s="1">
        <v>44048</v>
      </c>
      <c r="B1383">
        <v>25102.539063</v>
      </c>
      <c r="C1383">
        <f t="shared" si="26"/>
        <v>10.130724277892208</v>
      </c>
    </row>
    <row r="1384" spans="1:3" x14ac:dyDescent="0.3">
      <c r="A1384" s="1">
        <v>44049</v>
      </c>
      <c r="B1384">
        <v>24930.580077999999</v>
      </c>
      <c r="C1384">
        <f t="shared" si="26"/>
        <v>10.123850444518061</v>
      </c>
    </row>
    <row r="1385" spans="1:3" x14ac:dyDescent="0.3">
      <c r="A1385" s="1">
        <v>44050</v>
      </c>
      <c r="B1385">
        <v>24531.619140999999</v>
      </c>
      <c r="C1385">
        <f t="shared" si="26"/>
        <v>10.107718141637589</v>
      </c>
    </row>
    <row r="1386" spans="1:3" x14ac:dyDescent="0.3">
      <c r="A1386" s="1">
        <v>44053</v>
      </c>
      <c r="B1386">
        <v>24377.429688</v>
      </c>
      <c r="C1386">
        <f t="shared" si="26"/>
        <v>10.101412970406068</v>
      </c>
    </row>
    <row r="1387" spans="1:3" x14ac:dyDescent="0.3">
      <c r="A1387" s="1">
        <v>44054</v>
      </c>
      <c r="B1387">
        <v>24890.679688</v>
      </c>
      <c r="C1387">
        <f t="shared" si="26"/>
        <v>10.122248702662555</v>
      </c>
    </row>
    <row r="1388" spans="1:3" x14ac:dyDescent="0.3">
      <c r="A1388" s="1">
        <v>44055</v>
      </c>
      <c r="B1388">
        <v>25244.019531000002</v>
      </c>
      <c r="C1388">
        <f t="shared" si="26"/>
        <v>10.136344556392629</v>
      </c>
    </row>
    <row r="1389" spans="1:3" x14ac:dyDescent="0.3">
      <c r="A1389" s="1">
        <v>44056</v>
      </c>
      <c r="B1389">
        <v>25230.669922000001</v>
      </c>
      <c r="C1389">
        <f t="shared" si="26"/>
        <v>10.135815593878705</v>
      </c>
    </row>
    <row r="1390" spans="1:3" x14ac:dyDescent="0.3">
      <c r="A1390" s="1">
        <v>44057</v>
      </c>
      <c r="B1390">
        <v>25183.009765999999</v>
      </c>
      <c r="C1390">
        <f t="shared" si="26"/>
        <v>10.133924830479023</v>
      </c>
    </row>
    <row r="1391" spans="1:3" x14ac:dyDescent="0.3">
      <c r="A1391" s="1">
        <v>44060</v>
      </c>
      <c r="B1391">
        <v>25347.339843999998</v>
      </c>
      <c r="C1391">
        <f t="shared" si="26"/>
        <v>10.140429066392729</v>
      </c>
    </row>
    <row r="1392" spans="1:3" x14ac:dyDescent="0.3">
      <c r="A1392" s="1">
        <v>44061</v>
      </c>
      <c r="B1392">
        <v>25367.380859000001</v>
      </c>
      <c r="C1392">
        <f t="shared" si="26"/>
        <v>10.141219409542229</v>
      </c>
    </row>
    <row r="1393" spans="1:3" x14ac:dyDescent="0.3">
      <c r="A1393" s="1">
        <v>44062</v>
      </c>
      <c r="B1393">
        <v>25178.910156000002</v>
      </c>
      <c r="C1393">
        <f t="shared" si="26"/>
        <v>10.133762024532967</v>
      </c>
    </row>
    <row r="1394" spans="1:3" x14ac:dyDescent="0.3">
      <c r="A1394" s="1">
        <v>44063</v>
      </c>
      <c r="B1394">
        <v>24791.390625</v>
      </c>
      <c r="C1394">
        <f t="shared" si="26"/>
        <v>10.118251719664052</v>
      </c>
    </row>
    <row r="1395" spans="1:3" x14ac:dyDescent="0.3">
      <c r="A1395" s="1">
        <v>44064</v>
      </c>
      <c r="B1395">
        <v>25113.839843999998</v>
      </c>
      <c r="C1395">
        <f t="shared" si="26"/>
        <v>10.131174361368425</v>
      </c>
    </row>
    <row r="1396" spans="1:3" x14ac:dyDescent="0.3">
      <c r="A1396" s="1">
        <v>44067</v>
      </c>
      <c r="B1396">
        <v>25551.580077999999</v>
      </c>
      <c r="C1396">
        <f t="shared" si="26"/>
        <v>10.148454436302847</v>
      </c>
    </row>
    <row r="1397" spans="1:3" x14ac:dyDescent="0.3">
      <c r="A1397" s="1">
        <v>44068</v>
      </c>
      <c r="B1397">
        <v>25486.220702999999</v>
      </c>
      <c r="C1397">
        <f t="shared" si="26"/>
        <v>10.145893220508722</v>
      </c>
    </row>
    <row r="1398" spans="1:3" x14ac:dyDescent="0.3">
      <c r="A1398" s="1">
        <v>44069</v>
      </c>
      <c r="B1398">
        <v>25491.789063</v>
      </c>
      <c r="C1398">
        <f t="shared" si="26"/>
        <v>10.14611168176477</v>
      </c>
    </row>
    <row r="1399" spans="1:3" x14ac:dyDescent="0.3">
      <c r="A1399" s="1">
        <v>44070</v>
      </c>
      <c r="B1399">
        <v>25281.150390999999</v>
      </c>
      <c r="C1399">
        <f t="shared" si="26"/>
        <v>10.137814353198529</v>
      </c>
    </row>
    <row r="1400" spans="1:3" x14ac:dyDescent="0.3">
      <c r="A1400" s="1">
        <v>44071</v>
      </c>
      <c r="B1400">
        <v>25422.060547000001</v>
      </c>
      <c r="C1400">
        <f t="shared" si="26"/>
        <v>10.143372601529066</v>
      </c>
    </row>
    <row r="1401" spans="1:3" x14ac:dyDescent="0.3">
      <c r="A1401" s="1">
        <v>44074</v>
      </c>
      <c r="B1401">
        <v>25177.050781000002</v>
      </c>
      <c r="C1401">
        <f t="shared" si="26"/>
        <v>10.133688175281904</v>
      </c>
    </row>
    <row r="1402" spans="1:3" x14ac:dyDescent="0.3">
      <c r="A1402" s="1">
        <v>44075</v>
      </c>
      <c r="B1402">
        <v>25184.849609000001</v>
      </c>
      <c r="C1402">
        <f t="shared" si="26"/>
        <v>10.133997886710661</v>
      </c>
    </row>
    <row r="1403" spans="1:3" x14ac:dyDescent="0.3">
      <c r="A1403" s="1">
        <v>44076</v>
      </c>
      <c r="B1403">
        <v>25120.089843999998</v>
      </c>
      <c r="C1403">
        <f t="shared" si="26"/>
        <v>10.131423197168095</v>
      </c>
    </row>
    <row r="1404" spans="1:3" x14ac:dyDescent="0.3">
      <c r="A1404" s="1">
        <v>44077</v>
      </c>
      <c r="B1404">
        <v>25007.599609000001</v>
      </c>
      <c r="C1404">
        <f t="shared" si="26"/>
        <v>10.126935042016454</v>
      </c>
    </row>
    <row r="1405" spans="1:3" x14ac:dyDescent="0.3">
      <c r="A1405" s="1">
        <v>44078</v>
      </c>
      <c r="B1405">
        <v>24695.449218999998</v>
      </c>
      <c r="C1405">
        <f t="shared" si="26"/>
        <v>10.11437426349565</v>
      </c>
    </row>
    <row r="1406" spans="1:3" x14ac:dyDescent="0.3">
      <c r="A1406" s="1">
        <v>44081</v>
      </c>
      <c r="B1406">
        <v>24589.650390999999</v>
      </c>
      <c r="C1406">
        <f t="shared" si="26"/>
        <v>10.110080917581717</v>
      </c>
    </row>
    <row r="1407" spans="1:3" x14ac:dyDescent="0.3">
      <c r="A1407" s="1">
        <v>44082</v>
      </c>
      <c r="B1407">
        <v>24624.339843999998</v>
      </c>
      <c r="C1407">
        <f t="shared" si="26"/>
        <v>10.111490657315457</v>
      </c>
    </row>
    <row r="1408" spans="1:3" x14ac:dyDescent="0.3">
      <c r="A1408" s="1">
        <v>44083</v>
      </c>
      <c r="B1408">
        <v>24468.929688</v>
      </c>
      <c r="C1408">
        <f t="shared" si="26"/>
        <v>10.10515941571713</v>
      </c>
    </row>
    <row r="1409" spans="1:3" x14ac:dyDescent="0.3">
      <c r="A1409" s="1">
        <v>44084</v>
      </c>
      <c r="B1409">
        <v>24313.539063</v>
      </c>
      <c r="C1409">
        <f t="shared" si="26"/>
        <v>10.098788637257337</v>
      </c>
    </row>
    <row r="1410" spans="1:3" x14ac:dyDescent="0.3">
      <c r="A1410" s="1">
        <v>44085</v>
      </c>
      <c r="B1410">
        <v>24503.310547000001</v>
      </c>
      <c r="C1410">
        <f t="shared" si="26"/>
        <v>10.106563511771689</v>
      </c>
    </row>
    <row r="1411" spans="1:3" x14ac:dyDescent="0.3">
      <c r="A1411" s="1">
        <v>44088</v>
      </c>
      <c r="B1411">
        <v>24640.279297000001</v>
      </c>
      <c r="C1411">
        <f t="shared" si="26"/>
        <v>10.112137752688733</v>
      </c>
    </row>
    <row r="1412" spans="1:3" x14ac:dyDescent="0.3">
      <c r="A1412" s="1">
        <v>44089</v>
      </c>
      <c r="B1412">
        <v>24732.759765999999</v>
      </c>
      <c r="C1412">
        <f t="shared" si="26"/>
        <v>10.115883950164561</v>
      </c>
    </row>
    <row r="1413" spans="1:3" x14ac:dyDescent="0.3">
      <c r="A1413" s="1">
        <v>44090</v>
      </c>
      <c r="B1413">
        <v>24725.630859000001</v>
      </c>
      <c r="C1413">
        <f t="shared" si="26"/>
        <v>10.115595671190688</v>
      </c>
    </row>
    <row r="1414" spans="1:3" x14ac:dyDescent="0.3">
      <c r="A1414" s="1">
        <v>44091</v>
      </c>
      <c r="B1414">
        <v>24340.849609000001</v>
      </c>
      <c r="C1414">
        <f t="shared" si="26"/>
        <v>10.099911271807425</v>
      </c>
    </row>
    <row r="1415" spans="1:3" x14ac:dyDescent="0.3">
      <c r="A1415" s="1">
        <v>44092</v>
      </c>
      <c r="B1415">
        <v>24455.410156000002</v>
      </c>
      <c r="C1415">
        <f t="shared" ref="C1415:C1478" si="27">LN(B1415)</f>
        <v>10.104606744699506</v>
      </c>
    </row>
    <row r="1416" spans="1:3" x14ac:dyDescent="0.3">
      <c r="A1416" s="1">
        <v>44095</v>
      </c>
      <c r="B1416">
        <v>23950.689452999999</v>
      </c>
      <c r="C1416">
        <f t="shared" si="27"/>
        <v>10.083752389606346</v>
      </c>
    </row>
    <row r="1417" spans="1:3" x14ac:dyDescent="0.3">
      <c r="A1417" s="1">
        <v>44096</v>
      </c>
      <c r="B1417">
        <v>23716.849609000001</v>
      </c>
      <c r="C1417">
        <f t="shared" si="27"/>
        <v>10.073941028481418</v>
      </c>
    </row>
    <row r="1418" spans="1:3" x14ac:dyDescent="0.3">
      <c r="A1418" s="1">
        <v>44097</v>
      </c>
      <c r="B1418">
        <v>23742.509765999999</v>
      </c>
      <c r="C1418">
        <f t="shared" si="27"/>
        <v>10.075022381446917</v>
      </c>
    </row>
    <row r="1419" spans="1:3" x14ac:dyDescent="0.3">
      <c r="A1419" s="1">
        <v>44098</v>
      </c>
      <c r="B1419">
        <v>23311.070313</v>
      </c>
      <c r="C1419">
        <f t="shared" si="27"/>
        <v>10.05668364744929</v>
      </c>
    </row>
    <row r="1420" spans="1:3" x14ac:dyDescent="0.3">
      <c r="A1420" s="1">
        <v>44099</v>
      </c>
      <c r="B1420">
        <v>23235.419922000001</v>
      </c>
      <c r="C1420">
        <f t="shared" si="27"/>
        <v>10.053433114176942</v>
      </c>
    </row>
    <row r="1421" spans="1:3" x14ac:dyDescent="0.3">
      <c r="A1421" s="1">
        <v>44102</v>
      </c>
      <c r="B1421">
        <v>23476.050781000002</v>
      </c>
      <c r="C1421">
        <f t="shared" si="27"/>
        <v>10.063736064778629</v>
      </c>
    </row>
    <row r="1422" spans="1:3" x14ac:dyDescent="0.3">
      <c r="A1422" s="1">
        <v>44103</v>
      </c>
      <c r="B1422">
        <v>23275.529297000001</v>
      </c>
      <c r="C1422">
        <f t="shared" si="27"/>
        <v>10.055157842896362</v>
      </c>
    </row>
    <row r="1423" spans="1:3" x14ac:dyDescent="0.3">
      <c r="A1423" s="1">
        <v>44104</v>
      </c>
      <c r="B1423">
        <v>23459.050781000002</v>
      </c>
      <c r="C1423">
        <f t="shared" si="27"/>
        <v>10.063011660220946</v>
      </c>
    </row>
    <row r="1424" spans="1:3" x14ac:dyDescent="0.3">
      <c r="A1424" s="1">
        <v>44109</v>
      </c>
      <c r="B1424">
        <v>23767.779297000001</v>
      </c>
      <c r="C1424">
        <f t="shared" si="27"/>
        <v>10.076086131379034</v>
      </c>
    </row>
    <row r="1425" spans="1:3" x14ac:dyDescent="0.3">
      <c r="A1425" s="1">
        <v>44110</v>
      </c>
      <c r="B1425">
        <v>23980.650390999999</v>
      </c>
      <c r="C1425">
        <f t="shared" si="27"/>
        <v>10.08500255044056</v>
      </c>
    </row>
    <row r="1426" spans="1:3" x14ac:dyDescent="0.3">
      <c r="A1426" s="1">
        <v>44111</v>
      </c>
      <c r="B1426">
        <v>24242.859375</v>
      </c>
      <c r="C1426">
        <f t="shared" si="27"/>
        <v>10.095877394241249</v>
      </c>
    </row>
    <row r="1427" spans="1:3" x14ac:dyDescent="0.3">
      <c r="A1427" s="1">
        <v>44112</v>
      </c>
      <c r="B1427">
        <v>24193.349609000001</v>
      </c>
      <c r="C1427">
        <f t="shared" si="27"/>
        <v>10.093833064832261</v>
      </c>
    </row>
    <row r="1428" spans="1:3" x14ac:dyDescent="0.3">
      <c r="A1428" s="1">
        <v>44113</v>
      </c>
      <c r="B1428">
        <v>24119.130859000001</v>
      </c>
      <c r="C1428">
        <f t="shared" si="27"/>
        <v>10.090760616153737</v>
      </c>
    </row>
    <row r="1429" spans="1:3" x14ac:dyDescent="0.3">
      <c r="A1429" s="1">
        <v>44116</v>
      </c>
      <c r="B1429">
        <v>24649.679688</v>
      </c>
      <c r="C1429">
        <f t="shared" si="27"/>
        <v>10.112519184984786</v>
      </c>
    </row>
    <row r="1430" spans="1:3" x14ac:dyDescent="0.3">
      <c r="A1430" s="1">
        <v>44118</v>
      </c>
      <c r="B1430">
        <v>24667.089843999998</v>
      </c>
      <c r="C1430">
        <f t="shared" si="27"/>
        <v>10.113225239208875</v>
      </c>
    </row>
    <row r="1431" spans="1:3" x14ac:dyDescent="0.3">
      <c r="A1431" s="1">
        <v>44119</v>
      </c>
      <c r="B1431">
        <v>24158.539063</v>
      </c>
      <c r="C1431">
        <f t="shared" si="27"/>
        <v>10.092393180973724</v>
      </c>
    </row>
    <row r="1432" spans="1:3" x14ac:dyDescent="0.3">
      <c r="A1432" s="1">
        <v>44120</v>
      </c>
      <c r="B1432">
        <v>24386.789063</v>
      </c>
      <c r="C1432">
        <f t="shared" si="27"/>
        <v>10.101796832809882</v>
      </c>
    </row>
    <row r="1433" spans="1:3" x14ac:dyDescent="0.3">
      <c r="A1433" s="1">
        <v>44123</v>
      </c>
      <c r="B1433">
        <v>24542.259765999999</v>
      </c>
      <c r="C1433">
        <f t="shared" si="27"/>
        <v>10.108151799029415</v>
      </c>
    </row>
    <row r="1434" spans="1:3" x14ac:dyDescent="0.3">
      <c r="A1434" s="1">
        <v>44124</v>
      </c>
      <c r="B1434">
        <v>24569.539063</v>
      </c>
      <c r="C1434">
        <f t="shared" si="27"/>
        <v>10.109262705184591</v>
      </c>
    </row>
    <row r="1435" spans="1:3" x14ac:dyDescent="0.3">
      <c r="A1435" s="1">
        <v>44125</v>
      </c>
      <c r="B1435">
        <v>24754.419922000001</v>
      </c>
      <c r="C1435">
        <f t="shared" si="27"/>
        <v>10.116759334759914</v>
      </c>
    </row>
    <row r="1436" spans="1:3" x14ac:dyDescent="0.3">
      <c r="A1436" s="1">
        <v>44126</v>
      </c>
      <c r="B1436">
        <v>24786.130859000001</v>
      </c>
      <c r="C1436">
        <f t="shared" si="27"/>
        <v>10.118039536163856</v>
      </c>
    </row>
    <row r="1437" spans="1:3" x14ac:dyDescent="0.3">
      <c r="A1437" s="1">
        <v>44127</v>
      </c>
      <c r="B1437">
        <v>24918.779297000001</v>
      </c>
      <c r="C1437">
        <f t="shared" si="27"/>
        <v>10.123376986830003</v>
      </c>
    </row>
    <row r="1438" spans="1:3" x14ac:dyDescent="0.3">
      <c r="A1438" s="1">
        <v>44131</v>
      </c>
      <c r="B1438">
        <v>24787.189452999999</v>
      </c>
      <c r="C1438">
        <f t="shared" si="27"/>
        <v>10.118082244378416</v>
      </c>
    </row>
    <row r="1439" spans="1:3" x14ac:dyDescent="0.3">
      <c r="A1439" s="1">
        <v>44132</v>
      </c>
      <c r="B1439">
        <v>24708.800781000002</v>
      </c>
      <c r="C1439">
        <f t="shared" si="27"/>
        <v>10.114914766076907</v>
      </c>
    </row>
    <row r="1440" spans="1:3" x14ac:dyDescent="0.3">
      <c r="A1440" s="1">
        <v>44133</v>
      </c>
      <c r="B1440">
        <v>24586.599609000001</v>
      </c>
      <c r="C1440">
        <f t="shared" si="27"/>
        <v>10.109956842158972</v>
      </c>
    </row>
    <row r="1441" spans="1:3" x14ac:dyDescent="0.3">
      <c r="A1441" s="1">
        <v>44134</v>
      </c>
      <c r="B1441">
        <v>24107.419922000001</v>
      </c>
      <c r="C1441">
        <f t="shared" si="27"/>
        <v>10.090274952674159</v>
      </c>
    </row>
    <row r="1442" spans="1:3" x14ac:dyDescent="0.3">
      <c r="A1442" s="1">
        <v>44137</v>
      </c>
      <c r="B1442">
        <v>24460.009765999999</v>
      </c>
      <c r="C1442">
        <f t="shared" si="27"/>
        <v>10.104794808505188</v>
      </c>
    </row>
    <row r="1443" spans="1:3" x14ac:dyDescent="0.3">
      <c r="A1443" s="1">
        <v>44138</v>
      </c>
      <c r="B1443">
        <v>24939.730468999998</v>
      </c>
      <c r="C1443">
        <f t="shared" si="27"/>
        <v>10.124217411998403</v>
      </c>
    </row>
    <row r="1444" spans="1:3" x14ac:dyDescent="0.3">
      <c r="A1444" s="1">
        <v>44139</v>
      </c>
      <c r="B1444">
        <v>24886.140625</v>
      </c>
      <c r="C1444">
        <f t="shared" si="27"/>
        <v>10.122066326087111</v>
      </c>
    </row>
    <row r="1445" spans="1:3" x14ac:dyDescent="0.3">
      <c r="A1445" s="1">
        <v>44140</v>
      </c>
      <c r="B1445">
        <v>25695.919922000001</v>
      </c>
      <c r="C1445">
        <f t="shared" si="27"/>
        <v>10.15408750038111</v>
      </c>
    </row>
    <row r="1446" spans="1:3" x14ac:dyDescent="0.3">
      <c r="A1446" s="1">
        <v>44141</v>
      </c>
      <c r="B1446">
        <v>25712.970702999999</v>
      </c>
      <c r="C1446">
        <f t="shared" si="27"/>
        <v>10.154750840181597</v>
      </c>
    </row>
    <row r="1447" spans="1:3" x14ac:dyDescent="0.3">
      <c r="A1447" s="1">
        <v>44144</v>
      </c>
      <c r="B1447">
        <v>26016.169922000001</v>
      </c>
      <c r="C1447">
        <f t="shared" si="27"/>
        <v>10.166473543768397</v>
      </c>
    </row>
    <row r="1448" spans="1:3" x14ac:dyDescent="0.3">
      <c r="A1448" s="1">
        <v>44145</v>
      </c>
      <c r="B1448">
        <v>26301.480468999998</v>
      </c>
      <c r="C1448">
        <f t="shared" si="27"/>
        <v>10.177380508178501</v>
      </c>
    </row>
    <row r="1449" spans="1:3" x14ac:dyDescent="0.3">
      <c r="A1449" s="1">
        <v>44146</v>
      </c>
      <c r="B1449">
        <v>26226.980468999998</v>
      </c>
      <c r="C1449">
        <f t="shared" si="27"/>
        <v>10.174543948773474</v>
      </c>
    </row>
    <row r="1450" spans="1:3" x14ac:dyDescent="0.3">
      <c r="A1450" s="1">
        <v>44147</v>
      </c>
      <c r="B1450">
        <v>26169.380859000001</v>
      </c>
      <c r="C1450">
        <f t="shared" si="27"/>
        <v>10.172345336818648</v>
      </c>
    </row>
    <row r="1451" spans="1:3" x14ac:dyDescent="0.3">
      <c r="A1451" s="1">
        <v>44148</v>
      </c>
      <c r="B1451">
        <v>26156.859375</v>
      </c>
      <c r="C1451">
        <f t="shared" si="27"/>
        <v>10.171866743891544</v>
      </c>
    </row>
    <row r="1452" spans="1:3" x14ac:dyDescent="0.3">
      <c r="A1452" s="1">
        <v>44151</v>
      </c>
      <c r="B1452">
        <v>26381.669922000001</v>
      </c>
      <c r="C1452">
        <f t="shared" si="27"/>
        <v>10.180424726845493</v>
      </c>
    </row>
    <row r="1453" spans="1:3" x14ac:dyDescent="0.3">
      <c r="A1453" s="1">
        <v>44152</v>
      </c>
      <c r="B1453">
        <v>26415.089843999998</v>
      </c>
      <c r="C1453">
        <f t="shared" si="27"/>
        <v>10.181690710841922</v>
      </c>
    </row>
    <row r="1454" spans="1:3" x14ac:dyDescent="0.3">
      <c r="A1454" s="1">
        <v>44153</v>
      </c>
      <c r="B1454">
        <v>26544.289063</v>
      </c>
      <c r="C1454">
        <f t="shared" si="27"/>
        <v>10.18656990232723</v>
      </c>
    </row>
    <row r="1455" spans="1:3" x14ac:dyDescent="0.3">
      <c r="A1455" s="1">
        <v>44154</v>
      </c>
      <c r="B1455">
        <v>26356.970702999999</v>
      </c>
      <c r="C1455">
        <f t="shared" si="27"/>
        <v>10.179488061792579</v>
      </c>
    </row>
    <row r="1456" spans="1:3" x14ac:dyDescent="0.3">
      <c r="A1456" s="1">
        <v>44155</v>
      </c>
      <c r="B1456">
        <v>26451.539063</v>
      </c>
      <c r="C1456">
        <f t="shared" si="27"/>
        <v>10.183069623230661</v>
      </c>
    </row>
    <row r="1457" spans="1:3" x14ac:dyDescent="0.3">
      <c r="A1457" s="1">
        <v>44158</v>
      </c>
      <c r="B1457">
        <v>26486.199218999998</v>
      </c>
      <c r="C1457">
        <f t="shared" si="27"/>
        <v>10.184379092130449</v>
      </c>
    </row>
    <row r="1458" spans="1:3" x14ac:dyDescent="0.3">
      <c r="A1458" s="1">
        <v>44159</v>
      </c>
      <c r="B1458">
        <v>26588.199218999998</v>
      </c>
      <c r="C1458">
        <f t="shared" si="27"/>
        <v>10.18822275794971</v>
      </c>
    </row>
    <row r="1459" spans="1:3" x14ac:dyDescent="0.3">
      <c r="A1459" s="1">
        <v>44160</v>
      </c>
      <c r="B1459">
        <v>26669.75</v>
      </c>
      <c r="C1459">
        <f t="shared" si="27"/>
        <v>10.191285243303854</v>
      </c>
    </row>
    <row r="1460" spans="1:3" x14ac:dyDescent="0.3">
      <c r="A1460" s="1">
        <v>44161</v>
      </c>
      <c r="B1460">
        <v>26819.449218999998</v>
      </c>
      <c r="C1460">
        <f t="shared" si="27"/>
        <v>10.196882620420473</v>
      </c>
    </row>
    <row r="1461" spans="1:3" x14ac:dyDescent="0.3">
      <c r="A1461" s="1">
        <v>44162</v>
      </c>
      <c r="B1461">
        <v>26894.679688</v>
      </c>
      <c r="C1461">
        <f t="shared" si="27"/>
        <v>10.199683764913425</v>
      </c>
    </row>
    <row r="1462" spans="1:3" x14ac:dyDescent="0.3">
      <c r="A1462" s="1">
        <v>44165</v>
      </c>
      <c r="B1462">
        <v>26341.490234000001</v>
      </c>
      <c r="C1462">
        <f t="shared" si="27"/>
        <v>10.178900550538168</v>
      </c>
    </row>
    <row r="1463" spans="1:3" x14ac:dyDescent="0.3">
      <c r="A1463" s="1">
        <v>44166</v>
      </c>
      <c r="B1463">
        <v>26567.679688</v>
      </c>
      <c r="C1463">
        <f t="shared" si="27"/>
        <v>10.187450706675564</v>
      </c>
    </row>
    <row r="1464" spans="1:3" x14ac:dyDescent="0.3">
      <c r="A1464" s="1">
        <v>44167</v>
      </c>
      <c r="B1464">
        <v>26532.580077999999</v>
      </c>
      <c r="C1464">
        <f t="shared" si="27"/>
        <v>10.186128693741288</v>
      </c>
    </row>
    <row r="1465" spans="1:3" x14ac:dyDescent="0.3">
      <c r="A1465" s="1">
        <v>44168</v>
      </c>
      <c r="B1465">
        <v>26728.5</v>
      </c>
      <c r="C1465">
        <f t="shared" si="27"/>
        <v>10.19348569083558</v>
      </c>
    </row>
    <row r="1466" spans="1:3" x14ac:dyDescent="0.3">
      <c r="A1466" s="1">
        <v>44169</v>
      </c>
      <c r="B1466">
        <v>26835.919922000001</v>
      </c>
      <c r="C1466">
        <f t="shared" si="27"/>
        <v>10.197496564701579</v>
      </c>
    </row>
    <row r="1467" spans="1:3" x14ac:dyDescent="0.3">
      <c r="A1467" s="1">
        <v>44172</v>
      </c>
      <c r="B1467">
        <v>26506.849609000001</v>
      </c>
      <c r="C1467">
        <f t="shared" si="27"/>
        <v>10.185158454386517</v>
      </c>
    </row>
    <row r="1468" spans="1:3" x14ac:dyDescent="0.3">
      <c r="A1468" s="1">
        <v>44173</v>
      </c>
      <c r="B1468">
        <v>26304.560547000001</v>
      </c>
      <c r="C1468">
        <f t="shared" si="27"/>
        <v>10.177497607961874</v>
      </c>
    </row>
    <row r="1469" spans="1:3" x14ac:dyDescent="0.3">
      <c r="A1469" s="1">
        <v>44174</v>
      </c>
      <c r="B1469">
        <v>26502.839843999998</v>
      </c>
      <c r="C1469">
        <f t="shared" si="27"/>
        <v>10.185007170157199</v>
      </c>
    </row>
    <row r="1470" spans="1:3" x14ac:dyDescent="0.3">
      <c r="A1470" s="1">
        <v>44175</v>
      </c>
      <c r="B1470">
        <v>26410.589843999998</v>
      </c>
      <c r="C1470">
        <f t="shared" si="27"/>
        <v>10.18152033915764</v>
      </c>
    </row>
    <row r="1471" spans="1:3" x14ac:dyDescent="0.3">
      <c r="A1471" s="1">
        <v>44176</v>
      </c>
      <c r="B1471">
        <v>26505.869140999999</v>
      </c>
      <c r="C1471">
        <f t="shared" si="27"/>
        <v>10.185121464470766</v>
      </c>
    </row>
    <row r="1472" spans="1:3" x14ac:dyDescent="0.3">
      <c r="A1472" s="1">
        <v>44179</v>
      </c>
      <c r="B1472">
        <v>26389.519531000002</v>
      </c>
      <c r="C1472">
        <f t="shared" si="27"/>
        <v>10.180722222851903</v>
      </c>
    </row>
    <row r="1473" spans="1:3" x14ac:dyDescent="0.3">
      <c r="A1473" s="1">
        <v>44180</v>
      </c>
      <c r="B1473">
        <v>26207.289063</v>
      </c>
      <c r="C1473">
        <f t="shared" si="27"/>
        <v>10.173792859567827</v>
      </c>
    </row>
    <row r="1474" spans="1:3" x14ac:dyDescent="0.3">
      <c r="A1474" s="1">
        <v>44181</v>
      </c>
      <c r="B1474">
        <v>26460.289063</v>
      </c>
      <c r="C1474">
        <f t="shared" si="27"/>
        <v>10.183400362136863</v>
      </c>
    </row>
    <row r="1475" spans="1:3" x14ac:dyDescent="0.3">
      <c r="A1475" s="1">
        <v>44182</v>
      </c>
      <c r="B1475">
        <v>26678.380859000001</v>
      </c>
      <c r="C1475">
        <f t="shared" si="27"/>
        <v>10.191608810744224</v>
      </c>
    </row>
    <row r="1476" spans="1:3" x14ac:dyDescent="0.3">
      <c r="A1476" s="1">
        <v>44183</v>
      </c>
      <c r="B1476">
        <v>26498.599609000001</v>
      </c>
      <c r="C1476">
        <f t="shared" si="27"/>
        <v>10.184847165634574</v>
      </c>
    </row>
    <row r="1477" spans="1:3" x14ac:dyDescent="0.3">
      <c r="A1477" s="1">
        <v>44186</v>
      </c>
      <c r="B1477">
        <v>26306.679688</v>
      </c>
      <c r="C1477">
        <f t="shared" si="27"/>
        <v>10.17757816645058</v>
      </c>
    </row>
    <row r="1478" spans="1:3" x14ac:dyDescent="0.3">
      <c r="A1478" s="1">
        <v>44187</v>
      </c>
      <c r="B1478">
        <v>26119.25</v>
      </c>
      <c r="C1478">
        <f t="shared" si="27"/>
        <v>10.170427869348721</v>
      </c>
    </row>
    <row r="1479" spans="1:3" x14ac:dyDescent="0.3">
      <c r="A1479" s="1">
        <v>44188</v>
      </c>
      <c r="B1479">
        <v>26343.099609000001</v>
      </c>
      <c r="C1479">
        <f t="shared" ref="C1479:C1542" si="28">LN(B1479)</f>
        <v>10.178961645253162</v>
      </c>
    </row>
    <row r="1480" spans="1:3" x14ac:dyDescent="0.3">
      <c r="A1480" s="1">
        <v>44189</v>
      </c>
      <c r="B1480">
        <v>26386.560547000001</v>
      </c>
      <c r="C1480">
        <f t="shared" si="28"/>
        <v>10.180610089324793</v>
      </c>
    </row>
    <row r="1481" spans="1:3" x14ac:dyDescent="0.3">
      <c r="A1481" s="1">
        <v>44193</v>
      </c>
      <c r="B1481">
        <v>26314.630859000001</v>
      </c>
      <c r="C1481">
        <f t="shared" si="28"/>
        <v>10.177880369910655</v>
      </c>
    </row>
    <row r="1482" spans="1:3" x14ac:dyDescent="0.3">
      <c r="A1482" s="1">
        <v>44194</v>
      </c>
      <c r="B1482">
        <v>26568.490234000001</v>
      </c>
      <c r="C1482">
        <f t="shared" si="28"/>
        <v>10.187481214933921</v>
      </c>
    </row>
    <row r="1483" spans="1:3" x14ac:dyDescent="0.3">
      <c r="A1483" s="1">
        <v>44195</v>
      </c>
      <c r="B1483">
        <v>27147.109375</v>
      </c>
      <c r="C1483">
        <f t="shared" si="28"/>
        <v>10.209025851001439</v>
      </c>
    </row>
    <row r="1484" spans="1:3" x14ac:dyDescent="0.3">
      <c r="A1484" s="1">
        <v>44196</v>
      </c>
      <c r="B1484">
        <v>27231.130859000001</v>
      </c>
      <c r="C1484">
        <f t="shared" si="28"/>
        <v>10.212116114698963</v>
      </c>
    </row>
    <row r="1485" spans="1:3" x14ac:dyDescent="0.3">
      <c r="A1485" s="1">
        <v>44200</v>
      </c>
      <c r="B1485">
        <v>27472.810547000001</v>
      </c>
      <c r="C1485">
        <f t="shared" si="28"/>
        <v>10.220952087179294</v>
      </c>
    </row>
    <row r="1486" spans="1:3" x14ac:dyDescent="0.3">
      <c r="A1486" s="1">
        <v>44201</v>
      </c>
      <c r="B1486">
        <v>27649.859375</v>
      </c>
      <c r="C1486">
        <f t="shared" si="28"/>
        <v>10.22737592104243</v>
      </c>
    </row>
    <row r="1487" spans="1:3" x14ac:dyDescent="0.3">
      <c r="A1487" s="1">
        <v>44202</v>
      </c>
      <c r="B1487">
        <v>27692.300781000002</v>
      </c>
      <c r="C1487">
        <f t="shared" si="28"/>
        <v>10.228909703395725</v>
      </c>
    </row>
    <row r="1488" spans="1:3" x14ac:dyDescent="0.3">
      <c r="A1488" s="1">
        <v>44203</v>
      </c>
      <c r="B1488">
        <v>27548.519531000002</v>
      </c>
      <c r="C1488">
        <f t="shared" si="28"/>
        <v>10.223704075605387</v>
      </c>
    </row>
    <row r="1489" spans="1:3" x14ac:dyDescent="0.3">
      <c r="A1489" s="1">
        <v>44204</v>
      </c>
      <c r="B1489">
        <v>27878.220702999999</v>
      </c>
      <c r="C1489">
        <f t="shared" si="28"/>
        <v>10.23560104300288</v>
      </c>
    </row>
    <row r="1490" spans="1:3" x14ac:dyDescent="0.3">
      <c r="A1490" s="1">
        <v>44207</v>
      </c>
      <c r="B1490">
        <v>27908.220702999999</v>
      </c>
      <c r="C1490">
        <f t="shared" si="28"/>
        <v>10.236676573262056</v>
      </c>
    </row>
    <row r="1491" spans="1:3" x14ac:dyDescent="0.3">
      <c r="A1491" s="1">
        <v>44208</v>
      </c>
      <c r="B1491">
        <v>28276.75</v>
      </c>
      <c r="C1491">
        <f t="shared" si="28"/>
        <v>10.24979519119994</v>
      </c>
    </row>
    <row r="1492" spans="1:3" x14ac:dyDescent="0.3">
      <c r="A1492" s="1">
        <v>44209</v>
      </c>
      <c r="B1492">
        <v>28235.599609000001</v>
      </c>
      <c r="C1492">
        <f t="shared" si="28"/>
        <v>10.248338858254744</v>
      </c>
    </row>
    <row r="1493" spans="1:3" x14ac:dyDescent="0.3">
      <c r="A1493" s="1">
        <v>44210</v>
      </c>
      <c r="B1493">
        <v>28496.859375</v>
      </c>
      <c r="C1493">
        <f t="shared" si="28"/>
        <v>10.257549162816145</v>
      </c>
    </row>
    <row r="1494" spans="1:3" x14ac:dyDescent="0.3">
      <c r="A1494" s="1">
        <v>44211</v>
      </c>
      <c r="B1494">
        <v>28573.859375</v>
      </c>
      <c r="C1494">
        <f t="shared" si="28"/>
        <v>10.260247570980923</v>
      </c>
    </row>
    <row r="1495" spans="1:3" x14ac:dyDescent="0.3">
      <c r="A1495" s="1">
        <v>44214</v>
      </c>
      <c r="B1495">
        <v>28862.769531000002</v>
      </c>
      <c r="C1495">
        <f t="shared" si="28"/>
        <v>10.270307792068692</v>
      </c>
    </row>
    <row r="1496" spans="1:3" x14ac:dyDescent="0.3">
      <c r="A1496" s="1">
        <v>44215</v>
      </c>
      <c r="B1496">
        <v>29642.279297000001</v>
      </c>
      <c r="C1496">
        <f t="shared" si="28"/>
        <v>10.296956975812394</v>
      </c>
    </row>
    <row r="1497" spans="1:3" x14ac:dyDescent="0.3">
      <c r="A1497" s="1">
        <v>44216</v>
      </c>
      <c r="B1497">
        <v>29962.470702999999</v>
      </c>
      <c r="C1497">
        <f t="shared" si="28"/>
        <v>10.307700900953259</v>
      </c>
    </row>
    <row r="1498" spans="1:3" x14ac:dyDescent="0.3">
      <c r="A1498" s="1">
        <v>44217</v>
      </c>
      <c r="B1498">
        <v>29927.759765999999</v>
      </c>
      <c r="C1498">
        <f t="shared" si="28"/>
        <v>10.306541748930808</v>
      </c>
    </row>
    <row r="1499" spans="1:3" x14ac:dyDescent="0.3">
      <c r="A1499" s="1">
        <v>44218</v>
      </c>
      <c r="B1499">
        <v>29447.849609000001</v>
      </c>
      <c r="C1499">
        <f t="shared" si="28"/>
        <v>10.290376168043643</v>
      </c>
    </row>
    <row r="1500" spans="1:3" x14ac:dyDescent="0.3">
      <c r="A1500" s="1">
        <v>44221</v>
      </c>
      <c r="B1500">
        <v>30159.009765999999</v>
      </c>
      <c r="C1500">
        <f t="shared" si="28"/>
        <v>10.31423898889058</v>
      </c>
    </row>
    <row r="1501" spans="1:3" x14ac:dyDescent="0.3">
      <c r="A1501" s="1">
        <v>44222</v>
      </c>
      <c r="B1501">
        <v>29391.259765999999</v>
      </c>
      <c r="C1501">
        <f t="shared" si="28"/>
        <v>10.288452622257523</v>
      </c>
    </row>
    <row r="1502" spans="1:3" x14ac:dyDescent="0.3">
      <c r="A1502" s="1">
        <v>44223</v>
      </c>
      <c r="B1502">
        <v>29297.529297000001</v>
      </c>
      <c r="C1502">
        <f t="shared" si="28"/>
        <v>10.285258467115192</v>
      </c>
    </row>
    <row r="1503" spans="1:3" x14ac:dyDescent="0.3">
      <c r="A1503" s="1">
        <v>44224</v>
      </c>
      <c r="B1503">
        <v>28550.769531000002</v>
      </c>
      <c r="C1503">
        <f t="shared" si="28"/>
        <v>10.25943916852126</v>
      </c>
    </row>
    <row r="1504" spans="1:3" x14ac:dyDescent="0.3">
      <c r="A1504" s="1">
        <v>44225</v>
      </c>
      <c r="B1504">
        <v>28283.710938</v>
      </c>
      <c r="C1504">
        <f t="shared" si="28"/>
        <v>10.250041332688879</v>
      </c>
    </row>
    <row r="1505" spans="1:3" x14ac:dyDescent="0.3">
      <c r="A1505" s="1">
        <v>44228</v>
      </c>
      <c r="B1505">
        <v>28892.859375</v>
      </c>
      <c r="C1505">
        <f t="shared" si="28"/>
        <v>10.271349763121293</v>
      </c>
    </row>
    <row r="1506" spans="1:3" x14ac:dyDescent="0.3">
      <c r="A1506" s="1">
        <v>44229</v>
      </c>
      <c r="B1506">
        <v>29248.699218999998</v>
      </c>
      <c r="C1506">
        <f t="shared" si="28"/>
        <v>10.283590380525833</v>
      </c>
    </row>
    <row r="1507" spans="1:3" x14ac:dyDescent="0.3">
      <c r="A1507" s="1">
        <v>44230</v>
      </c>
      <c r="B1507">
        <v>29307.460938</v>
      </c>
      <c r="C1507">
        <f t="shared" si="28"/>
        <v>10.285597402112202</v>
      </c>
    </row>
    <row r="1508" spans="1:3" x14ac:dyDescent="0.3">
      <c r="A1508" s="1">
        <v>44231</v>
      </c>
      <c r="B1508">
        <v>29113.5</v>
      </c>
      <c r="C1508">
        <f t="shared" si="28"/>
        <v>10.278957263108891</v>
      </c>
    </row>
    <row r="1509" spans="1:3" x14ac:dyDescent="0.3">
      <c r="A1509" s="1">
        <v>44232</v>
      </c>
      <c r="B1509">
        <v>29288.679688</v>
      </c>
      <c r="C1509">
        <f t="shared" si="28"/>
        <v>10.284956361578047</v>
      </c>
    </row>
    <row r="1510" spans="1:3" x14ac:dyDescent="0.3">
      <c r="A1510" s="1">
        <v>44235</v>
      </c>
      <c r="B1510">
        <v>29319.470702999999</v>
      </c>
      <c r="C1510">
        <f t="shared" si="28"/>
        <v>10.286007103416086</v>
      </c>
    </row>
    <row r="1511" spans="1:3" x14ac:dyDescent="0.3">
      <c r="A1511" s="1">
        <v>44236</v>
      </c>
      <c r="B1511">
        <v>29476.189452999999</v>
      </c>
      <c r="C1511">
        <f t="shared" si="28"/>
        <v>10.29133807923087</v>
      </c>
    </row>
    <row r="1512" spans="1:3" x14ac:dyDescent="0.3">
      <c r="A1512" s="1">
        <v>44237</v>
      </c>
      <c r="B1512">
        <v>30038.720702999999</v>
      </c>
      <c r="C1512">
        <f t="shared" si="28"/>
        <v>10.310242518519845</v>
      </c>
    </row>
    <row r="1513" spans="1:3" x14ac:dyDescent="0.3">
      <c r="A1513" s="1">
        <v>44238</v>
      </c>
      <c r="B1513">
        <v>30173.570313</v>
      </c>
      <c r="C1513">
        <f t="shared" si="28"/>
        <v>10.314721664992401</v>
      </c>
    </row>
    <row r="1514" spans="1:3" x14ac:dyDescent="0.3">
      <c r="A1514" s="1">
        <v>44243</v>
      </c>
      <c r="B1514">
        <v>30746.660156000002</v>
      </c>
      <c r="C1514">
        <f t="shared" si="28"/>
        <v>10.333536654522858</v>
      </c>
    </row>
    <row r="1515" spans="1:3" x14ac:dyDescent="0.3">
      <c r="A1515" s="1">
        <v>44244</v>
      </c>
      <c r="B1515">
        <v>31084.939452999999</v>
      </c>
      <c r="C1515">
        <f t="shared" si="28"/>
        <v>10.344478718913219</v>
      </c>
    </row>
    <row r="1516" spans="1:3" x14ac:dyDescent="0.3">
      <c r="A1516" s="1">
        <v>44245</v>
      </c>
      <c r="B1516">
        <v>30595.269531000002</v>
      </c>
      <c r="C1516">
        <f t="shared" si="28"/>
        <v>10.328600685499934</v>
      </c>
    </row>
    <row r="1517" spans="1:3" x14ac:dyDescent="0.3">
      <c r="A1517" s="1">
        <v>44246</v>
      </c>
      <c r="B1517">
        <v>30644.730468999998</v>
      </c>
      <c r="C1517">
        <f t="shared" si="28"/>
        <v>10.330216000612758</v>
      </c>
    </row>
    <row r="1518" spans="1:3" x14ac:dyDescent="0.3">
      <c r="A1518" s="1">
        <v>44249</v>
      </c>
      <c r="B1518">
        <v>30319.830077999999</v>
      </c>
      <c r="C1518">
        <f t="shared" si="28"/>
        <v>10.319557235453004</v>
      </c>
    </row>
    <row r="1519" spans="1:3" x14ac:dyDescent="0.3">
      <c r="A1519" s="1">
        <v>44250</v>
      </c>
      <c r="B1519">
        <v>30632.640625</v>
      </c>
      <c r="C1519">
        <f t="shared" si="28"/>
        <v>10.329821406525543</v>
      </c>
    </row>
    <row r="1520" spans="1:3" x14ac:dyDescent="0.3">
      <c r="A1520" s="1">
        <v>44251</v>
      </c>
      <c r="B1520">
        <v>29718.240234000001</v>
      </c>
      <c r="C1520">
        <f t="shared" si="28"/>
        <v>10.299516285571222</v>
      </c>
    </row>
    <row r="1521" spans="1:3" x14ac:dyDescent="0.3">
      <c r="A1521" s="1">
        <v>44252</v>
      </c>
      <c r="B1521">
        <v>30074.169922000001</v>
      </c>
      <c r="C1521">
        <f t="shared" si="28"/>
        <v>10.311421940195984</v>
      </c>
    </row>
    <row r="1522" spans="1:3" x14ac:dyDescent="0.3">
      <c r="A1522" s="1">
        <v>44253</v>
      </c>
      <c r="B1522">
        <v>28980.210938</v>
      </c>
      <c r="C1522">
        <f t="shared" si="28"/>
        <v>10.274368494592144</v>
      </c>
    </row>
    <row r="1523" spans="1:3" x14ac:dyDescent="0.3">
      <c r="A1523" s="1">
        <v>44256</v>
      </c>
      <c r="B1523">
        <v>29452.570313</v>
      </c>
      <c r="C1523">
        <f t="shared" si="28"/>
        <v>10.290536462452964</v>
      </c>
    </row>
    <row r="1524" spans="1:3" x14ac:dyDescent="0.3">
      <c r="A1524" s="1">
        <v>44257</v>
      </c>
      <c r="B1524">
        <v>29095.859375</v>
      </c>
      <c r="C1524">
        <f t="shared" si="28"/>
        <v>10.278351153516569</v>
      </c>
    </row>
    <row r="1525" spans="1:3" x14ac:dyDescent="0.3">
      <c r="A1525" s="1">
        <v>44258</v>
      </c>
      <c r="B1525">
        <v>29880.419922000001</v>
      </c>
      <c r="C1525">
        <f t="shared" si="28"/>
        <v>10.30495869276246</v>
      </c>
    </row>
    <row r="1526" spans="1:3" x14ac:dyDescent="0.3">
      <c r="A1526" s="1">
        <v>44259</v>
      </c>
      <c r="B1526">
        <v>29236.789063</v>
      </c>
      <c r="C1526">
        <f t="shared" si="28"/>
        <v>10.283183094666914</v>
      </c>
    </row>
    <row r="1527" spans="1:3" x14ac:dyDescent="0.3">
      <c r="A1527" s="1">
        <v>44260</v>
      </c>
      <c r="B1527">
        <v>29098.289063</v>
      </c>
      <c r="C1527">
        <f t="shared" si="28"/>
        <v>10.278434656345175</v>
      </c>
    </row>
    <row r="1528" spans="1:3" x14ac:dyDescent="0.3">
      <c r="A1528" s="1">
        <v>44263</v>
      </c>
      <c r="B1528">
        <v>28540.830077999999</v>
      </c>
      <c r="C1528">
        <f t="shared" si="28"/>
        <v>10.25909097533107</v>
      </c>
    </row>
    <row r="1529" spans="1:3" x14ac:dyDescent="0.3">
      <c r="A1529" s="1">
        <v>44264</v>
      </c>
      <c r="B1529">
        <v>28773.230468999998</v>
      </c>
      <c r="C1529">
        <f t="shared" si="28"/>
        <v>10.267200736269102</v>
      </c>
    </row>
    <row r="1530" spans="1:3" x14ac:dyDescent="0.3">
      <c r="A1530" s="1">
        <v>44265</v>
      </c>
      <c r="B1530">
        <v>28907.519531000002</v>
      </c>
      <c r="C1530">
        <f t="shared" si="28"/>
        <v>10.2718570316407</v>
      </c>
    </row>
    <row r="1531" spans="1:3" x14ac:dyDescent="0.3">
      <c r="A1531" s="1">
        <v>44266</v>
      </c>
      <c r="B1531">
        <v>29385.609375</v>
      </c>
      <c r="C1531">
        <f t="shared" si="28"/>
        <v>10.288260356452964</v>
      </c>
    </row>
    <row r="1532" spans="1:3" x14ac:dyDescent="0.3">
      <c r="A1532" s="1">
        <v>44267</v>
      </c>
      <c r="B1532">
        <v>28739.720702999999</v>
      </c>
      <c r="C1532">
        <f t="shared" si="28"/>
        <v>10.26603544152734</v>
      </c>
    </row>
    <row r="1533" spans="1:3" x14ac:dyDescent="0.3">
      <c r="A1533" s="1">
        <v>44270</v>
      </c>
      <c r="B1533">
        <v>28833.759765999999</v>
      </c>
      <c r="C1533">
        <f t="shared" si="28"/>
        <v>10.269302193714751</v>
      </c>
    </row>
    <row r="1534" spans="1:3" x14ac:dyDescent="0.3">
      <c r="A1534" s="1">
        <v>44271</v>
      </c>
      <c r="B1534">
        <v>29027.689452999999</v>
      </c>
      <c r="C1534">
        <f t="shared" si="28"/>
        <v>10.276005462152845</v>
      </c>
    </row>
    <row r="1535" spans="1:3" x14ac:dyDescent="0.3">
      <c r="A1535" s="1">
        <v>44272</v>
      </c>
      <c r="B1535">
        <v>29034.119140999999</v>
      </c>
      <c r="C1535">
        <f t="shared" si="28"/>
        <v>10.2762269395123</v>
      </c>
    </row>
    <row r="1536" spans="1:3" x14ac:dyDescent="0.3">
      <c r="A1536" s="1">
        <v>44273</v>
      </c>
      <c r="B1536">
        <v>29405.720702999999</v>
      </c>
      <c r="C1536">
        <f t="shared" si="28"/>
        <v>10.288944516132897</v>
      </c>
    </row>
    <row r="1537" spans="1:3" x14ac:dyDescent="0.3">
      <c r="A1537" s="1">
        <v>44274</v>
      </c>
      <c r="B1537">
        <v>28990.939452999999</v>
      </c>
      <c r="C1537">
        <f t="shared" si="28"/>
        <v>10.274738627496188</v>
      </c>
    </row>
    <row r="1538" spans="1:3" x14ac:dyDescent="0.3">
      <c r="A1538" s="1">
        <v>44277</v>
      </c>
      <c r="B1538">
        <v>28885.339843999998</v>
      </c>
      <c r="C1538">
        <f t="shared" si="28"/>
        <v>10.271089473560728</v>
      </c>
    </row>
    <row r="1539" spans="1:3" x14ac:dyDescent="0.3">
      <c r="A1539" s="1">
        <v>44278</v>
      </c>
      <c r="B1539">
        <v>28497.380859000001</v>
      </c>
      <c r="C1539">
        <f t="shared" si="28"/>
        <v>10.257567462349497</v>
      </c>
    </row>
    <row r="1540" spans="1:3" x14ac:dyDescent="0.3">
      <c r="A1540" s="1">
        <v>44279</v>
      </c>
      <c r="B1540">
        <v>27918.140625</v>
      </c>
      <c r="C1540">
        <f t="shared" si="28"/>
        <v>10.237031958132874</v>
      </c>
    </row>
    <row r="1541" spans="1:3" x14ac:dyDescent="0.3">
      <c r="A1541" s="1">
        <v>44280</v>
      </c>
      <c r="B1541">
        <v>27899.609375</v>
      </c>
      <c r="C1541">
        <f t="shared" si="28"/>
        <v>10.236367966815386</v>
      </c>
    </row>
    <row r="1542" spans="1:3" x14ac:dyDescent="0.3">
      <c r="A1542" s="1">
        <v>44281</v>
      </c>
      <c r="B1542">
        <v>28336.429688</v>
      </c>
      <c r="C1542">
        <f t="shared" si="28"/>
        <v>10.251903523939262</v>
      </c>
    </row>
    <row r="1543" spans="1:3" x14ac:dyDescent="0.3">
      <c r="A1543" s="1">
        <v>44284</v>
      </c>
      <c r="B1543">
        <v>28338.300781000002</v>
      </c>
      <c r="C1543">
        <f t="shared" ref="C1543:C1606" si="29">LN(B1543)</f>
        <v>10.251969553119647</v>
      </c>
    </row>
    <row r="1544" spans="1:3" x14ac:dyDescent="0.3">
      <c r="A1544" s="1">
        <v>44285</v>
      </c>
      <c r="B1544">
        <v>28577.5</v>
      </c>
      <c r="C1544">
        <f t="shared" si="29"/>
        <v>10.260374973899934</v>
      </c>
    </row>
    <row r="1545" spans="1:3" x14ac:dyDescent="0.3">
      <c r="A1545" s="1">
        <v>44286</v>
      </c>
      <c r="B1545">
        <v>28378.349609000001</v>
      </c>
      <c r="C1545">
        <f t="shared" si="29"/>
        <v>10.253381795710872</v>
      </c>
    </row>
    <row r="1546" spans="1:3" x14ac:dyDescent="0.3">
      <c r="A1546" s="1">
        <v>44287</v>
      </c>
      <c r="B1546">
        <v>28938.740234000001</v>
      </c>
      <c r="C1546">
        <f t="shared" si="29"/>
        <v>10.272936468968481</v>
      </c>
    </row>
    <row r="1547" spans="1:3" x14ac:dyDescent="0.3">
      <c r="A1547" s="1">
        <v>44293</v>
      </c>
      <c r="B1547">
        <v>28674.800781000002</v>
      </c>
      <c r="C1547">
        <f t="shared" si="29"/>
        <v>10.263773994493054</v>
      </c>
    </row>
    <row r="1548" spans="1:3" x14ac:dyDescent="0.3">
      <c r="A1548" s="1">
        <v>44294</v>
      </c>
      <c r="B1548">
        <v>29008.070313</v>
      </c>
      <c r="C1548">
        <f t="shared" si="29"/>
        <v>10.275329356909234</v>
      </c>
    </row>
    <row r="1549" spans="1:3" x14ac:dyDescent="0.3">
      <c r="A1549" s="1">
        <v>44295</v>
      </c>
      <c r="B1549">
        <v>28698.800781000002</v>
      </c>
      <c r="C1549">
        <f t="shared" si="29"/>
        <v>10.264610616240564</v>
      </c>
    </row>
    <row r="1550" spans="1:3" x14ac:dyDescent="0.3">
      <c r="A1550" s="1">
        <v>44298</v>
      </c>
      <c r="B1550">
        <v>28453.279297000001</v>
      </c>
      <c r="C1550">
        <f t="shared" si="29"/>
        <v>10.256018698184354</v>
      </c>
    </row>
    <row r="1551" spans="1:3" x14ac:dyDescent="0.3">
      <c r="A1551" s="1">
        <v>44299</v>
      </c>
      <c r="B1551">
        <v>28497.25</v>
      </c>
      <c r="C1551">
        <f t="shared" si="29"/>
        <v>10.257562870373095</v>
      </c>
    </row>
    <row r="1552" spans="1:3" x14ac:dyDescent="0.3">
      <c r="A1552" s="1">
        <v>44300</v>
      </c>
      <c r="B1552">
        <v>28900.830077999999</v>
      </c>
      <c r="C1552">
        <f t="shared" si="29"/>
        <v>10.271625596110187</v>
      </c>
    </row>
    <row r="1553" spans="1:3" x14ac:dyDescent="0.3">
      <c r="A1553" s="1">
        <v>44301</v>
      </c>
      <c r="B1553">
        <v>28793.140625</v>
      </c>
      <c r="C1553">
        <f t="shared" si="29"/>
        <v>10.26789246501335</v>
      </c>
    </row>
    <row r="1554" spans="1:3" x14ac:dyDescent="0.3">
      <c r="A1554" s="1">
        <v>44302</v>
      </c>
      <c r="B1554">
        <v>28969.710938</v>
      </c>
      <c r="C1554">
        <f t="shared" si="29"/>
        <v>10.274006112736398</v>
      </c>
    </row>
    <row r="1555" spans="1:3" x14ac:dyDescent="0.3">
      <c r="A1555" s="1">
        <v>44305</v>
      </c>
      <c r="B1555">
        <v>29106.150390999999</v>
      </c>
      <c r="C1555">
        <f t="shared" si="29"/>
        <v>10.278704784470161</v>
      </c>
    </row>
    <row r="1556" spans="1:3" x14ac:dyDescent="0.3">
      <c r="A1556" s="1">
        <v>44306</v>
      </c>
      <c r="B1556">
        <v>29135.730468999998</v>
      </c>
      <c r="C1556">
        <f t="shared" si="29"/>
        <v>10.279720551135199</v>
      </c>
    </row>
    <row r="1557" spans="1:3" x14ac:dyDescent="0.3">
      <c r="A1557" s="1">
        <v>44307</v>
      </c>
      <c r="B1557">
        <v>28621.919922000001</v>
      </c>
      <c r="C1557">
        <f t="shared" si="29"/>
        <v>10.261928134088974</v>
      </c>
    </row>
    <row r="1558" spans="1:3" x14ac:dyDescent="0.3">
      <c r="A1558" s="1">
        <v>44308</v>
      </c>
      <c r="B1558">
        <v>28755.339843999998</v>
      </c>
      <c r="C1558">
        <f t="shared" si="29"/>
        <v>10.266578762683475</v>
      </c>
    </row>
    <row r="1559" spans="1:3" x14ac:dyDescent="0.3">
      <c r="A1559" s="1">
        <v>44309</v>
      </c>
      <c r="B1559">
        <v>29078.75</v>
      </c>
      <c r="C1559">
        <f t="shared" si="29"/>
        <v>10.277762945854255</v>
      </c>
    </row>
    <row r="1560" spans="1:3" x14ac:dyDescent="0.3">
      <c r="A1560" s="1">
        <v>44312</v>
      </c>
      <c r="B1560">
        <v>28952.830077999999</v>
      </c>
      <c r="C1560">
        <f t="shared" si="29"/>
        <v>10.273423235667062</v>
      </c>
    </row>
    <row r="1561" spans="1:3" x14ac:dyDescent="0.3">
      <c r="A1561" s="1">
        <v>44313</v>
      </c>
      <c r="B1561">
        <v>28941.539063</v>
      </c>
      <c r="C1561">
        <f t="shared" si="29"/>
        <v>10.27303317993934</v>
      </c>
    </row>
    <row r="1562" spans="1:3" x14ac:dyDescent="0.3">
      <c r="A1562" s="1">
        <v>44314</v>
      </c>
      <c r="B1562">
        <v>29071.339843999998</v>
      </c>
      <c r="C1562">
        <f t="shared" si="29"/>
        <v>10.277508082755675</v>
      </c>
    </row>
    <row r="1563" spans="1:3" x14ac:dyDescent="0.3">
      <c r="A1563" s="1">
        <v>44315</v>
      </c>
      <c r="B1563">
        <v>29303.259765999999</v>
      </c>
      <c r="C1563">
        <f t="shared" si="29"/>
        <v>10.285454043629088</v>
      </c>
    </row>
    <row r="1564" spans="1:3" x14ac:dyDescent="0.3">
      <c r="A1564" s="1">
        <v>44316</v>
      </c>
      <c r="B1564">
        <v>28724.880859000001</v>
      </c>
      <c r="C1564">
        <f t="shared" si="29"/>
        <v>10.265518955066927</v>
      </c>
    </row>
    <row r="1565" spans="1:3" x14ac:dyDescent="0.3">
      <c r="A1565" s="1">
        <v>44319</v>
      </c>
      <c r="B1565">
        <v>28357.539063</v>
      </c>
      <c r="C1565">
        <f t="shared" si="29"/>
        <v>10.252648201951423</v>
      </c>
    </row>
    <row r="1566" spans="1:3" x14ac:dyDescent="0.3">
      <c r="A1566" s="1">
        <v>44320</v>
      </c>
      <c r="B1566">
        <v>28557.140625</v>
      </c>
      <c r="C1566">
        <f t="shared" si="29"/>
        <v>10.259662293269093</v>
      </c>
    </row>
    <row r="1567" spans="1:3" x14ac:dyDescent="0.3">
      <c r="A1567" s="1">
        <v>44321</v>
      </c>
      <c r="B1567">
        <v>28417.980468999998</v>
      </c>
      <c r="C1567">
        <f t="shared" si="29"/>
        <v>10.254777338922114</v>
      </c>
    </row>
    <row r="1568" spans="1:3" x14ac:dyDescent="0.3">
      <c r="A1568" s="1">
        <v>44322</v>
      </c>
      <c r="B1568">
        <v>28637.460938</v>
      </c>
      <c r="C1568">
        <f t="shared" si="29"/>
        <v>10.262470962745107</v>
      </c>
    </row>
    <row r="1569" spans="1:3" x14ac:dyDescent="0.3">
      <c r="A1569" s="1">
        <v>44323</v>
      </c>
      <c r="B1569">
        <v>28610.650390999999</v>
      </c>
      <c r="C1569">
        <f t="shared" si="29"/>
        <v>10.261534318781221</v>
      </c>
    </row>
    <row r="1570" spans="1:3" x14ac:dyDescent="0.3">
      <c r="A1570" s="1">
        <v>44326</v>
      </c>
      <c r="B1570">
        <v>28595.660156000002</v>
      </c>
      <c r="C1570">
        <f t="shared" si="29"/>
        <v>10.261010242496639</v>
      </c>
    </row>
    <row r="1571" spans="1:3" x14ac:dyDescent="0.3">
      <c r="A1571" s="1">
        <v>44327</v>
      </c>
      <c r="B1571">
        <v>28013.810547000001</v>
      </c>
      <c r="C1571">
        <f t="shared" si="29"/>
        <v>10.240452901378951</v>
      </c>
    </row>
    <row r="1572" spans="1:3" x14ac:dyDescent="0.3">
      <c r="A1572" s="1">
        <v>44328</v>
      </c>
      <c r="B1572">
        <v>28231.039063</v>
      </c>
      <c r="C1572">
        <f t="shared" si="29"/>
        <v>10.248177327619411</v>
      </c>
    </row>
    <row r="1573" spans="1:3" x14ac:dyDescent="0.3">
      <c r="A1573" s="1">
        <v>44329</v>
      </c>
      <c r="B1573">
        <v>27718.669922000001</v>
      </c>
      <c r="C1573">
        <f t="shared" si="29"/>
        <v>10.229861469540804</v>
      </c>
    </row>
    <row r="1574" spans="1:3" x14ac:dyDescent="0.3">
      <c r="A1574" s="1">
        <v>44330</v>
      </c>
      <c r="B1574">
        <v>28027.570313</v>
      </c>
      <c r="C1574">
        <f t="shared" si="29"/>
        <v>10.240943958739257</v>
      </c>
    </row>
    <row r="1575" spans="1:3" x14ac:dyDescent="0.3">
      <c r="A1575" s="1">
        <v>44333</v>
      </c>
      <c r="B1575">
        <v>28194.089843999998</v>
      </c>
      <c r="C1575">
        <f t="shared" si="29"/>
        <v>10.246867654961248</v>
      </c>
    </row>
    <row r="1576" spans="1:3" x14ac:dyDescent="0.3">
      <c r="A1576" s="1">
        <v>44334</v>
      </c>
      <c r="B1576">
        <v>28593.810547000001</v>
      </c>
      <c r="C1576">
        <f t="shared" si="29"/>
        <v>10.2609455589464</v>
      </c>
    </row>
    <row r="1577" spans="1:3" x14ac:dyDescent="0.3">
      <c r="A1577" s="1">
        <v>44336</v>
      </c>
      <c r="B1577">
        <v>28450.289063</v>
      </c>
      <c r="C1577">
        <f t="shared" si="29"/>
        <v>10.255913599889503</v>
      </c>
    </row>
    <row r="1578" spans="1:3" x14ac:dyDescent="0.3">
      <c r="A1578" s="1">
        <v>44337</v>
      </c>
      <c r="B1578">
        <v>28458.439452999999</v>
      </c>
      <c r="C1578">
        <f t="shared" si="29"/>
        <v>10.256200037146785</v>
      </c>
    </row>
    <row r="1579" spans="1:3" x14ac:dyDescent="0.3">
      <c r="A1579" s="1">
        <v>44340</v>
      </c>
      <c r="B1579">
        <v>28412.259765999999</v>
      </c>
      <c r="C1579">
        <f t="shared" si="29"/>
        <v>10.254576012902879</v>
      </c>
    </row>
    <row r="1580" spans="1:3" x14ac:dyDescent="0.3">
      <c r="A1580" s="1">
        <v>44341</v>
      </c>
      <c r="B1580">
        <v>28910.859375</v>
      </c>
      <c r="C1580">
        <f t="shared" si="29"/>
        <v>10.271972560441988</v>
      </c>
    </row>
    <row r="1581" spans="1:3" x14ac:dyDescent="0.3">
      <c r="A1581" s="1">
        <v>44342</v>
      </c>
      <c r="B1581">
        <v>29166.009765999999</v>
      </c>
      <c r="C1581">
        <f t="shared" si="29"/>
        <v>10.280759261115394</v>
      </c>
    </row>
    <row r="1582" spans="1:3" x14ac:dyDescent="0.3">
      <c r="A1582" s="1">
        <v>44343</v>
      </c>
      <c r="B1582">
        <v>29113.199218999998</v>
      </c>
      <c r="C1582">
        <f t="shared" si="29"/>
        <v>10.278946931731566</v>
      </c>
    </row>
    <row r="1583" spans="1:3" x14ac:dyDescent="0.3">
      <c r="A1583" s="1">
        <v>44344</v>
      </c>
      <c r="B1583">
        <v>29124.410156000002</v>
      </c>
      <c r="C1583">
        <f t="shared" si="29"/>
        <v>10.279331938508419</v>
      </c>
    </row>
    <row r="1584" spans="1:3" x14ac:dyDescent="0.3">
      <c r="A1584" s="1">
        <v>44347</v>
      </c>
      <c r="B1584">
        <v>29151.800781000002</v>
      </c>
      <c r="C1584">
        <f t="shared" si="29"/>
        <v>10.280271966234194</v>
      </c>
    </row>
    <row r="1585" spans="1:3" x14ac:dyDescent="0.3">
      <c r="A1585" s="1">
        <v>44348</v>
      </c>
      <c r="B1585">
        <v>29468</v>
      </c>
      <c r="C1585">
        <f t="shared" si="29"/>
        <v>10.291060207802705</v>
      </c>
    </row>
    <row r="1586" spans="1:3" x14ac:dyDescent="0.3">
      <c r="A1586" s="1">
        <v>44349</v>
      </c>
      <c r="B1586">
        <v>29297.619140999999</v>
      </c>
      <c r="C1586">
        <f t="shared" si="29"/>
        <v>10.285261533717202</v>
      </c>
    </row>
    <row r="1587" spans="1:3" x14ac:dyDescent="0.3">
      <c r="A1587" s="1">
        <v>44350</v>
      </c>
      <c r="B1587">
        <v>28966.029297000001</v>
      </c>
      <c r="C1587">
        <f t="shared" si="29"/>
        <v>10.273879018787481</v>
      </c>
    </row>
    <row r="1588" spans="1:3" x14ac:dyDescent="0.3">
      <c r="A1588" s="1">
        <v>44351</v>
      </c>
      <c r="B1588">
        <v>28918.099609000001</v>
      </c>
      <c r="C1588">
        <f t="shared" si="29"/>
        <v>10.272222962114956</v>
      </c>
    </row>
    <row r="1589" spans="1:3" x14ac:dyDescent="0.3">
      <c r="A1589" s="1">
        <v>44354</v>
      </c>
      <c r="B1589">
        <v>28787.279297000001</v>
      </c>
      <c r="C1589">
        <f t="shared" si="29"/>
        <v>10.267688877473413</v>
      </c>
    </row>
    <row r="1590" spans="1:3" x14ac:dyDescent="0.3">
      <c r="A1590" s="1">
        <v>44355</v>
      </c>
      <c r="B1590">
        <v>28781.380859000001</v>
      </c>
      <c r="C1590">
        <f t="shared" si="29"/>
        <v>10.267483959102734</v>
      </c>
    </row>
    <row r="1591" spans="1:3" x14ac:dyDescent="0.3">
      <c r="A1591" s="1">
        <v>44356</v>
      </c>
      <c r="B1591">
        <v>28742.630859000001</v>
      </c>
      <c r="C1591">
        <f t="shared" si="29"/>
        <v>10.266136695422611</v>
      </c>
    </row>
    <row r="1592" spans="1:3" x14ac:dyDescent="0.3">
      <c r="A1592" s="1">
        <v>44357</v>
      </c>
      <c r="B1592">
        <v>28738.880859000001</v>
      </c>
      <c r="C1592">
        <f t="shared" si="29"/>
        <v>10.266006218686936</v>
      </c>
    </row>
    <row r="1593" spans="1:3" x14ac:dyDescent="0.3">
      <c r="A1593" s="1">
        <v>44358</v>
      </c>
      <c r="B1593">
        <v>28842.130859000001</v>
      </c>
      <c r="C1593">
        <f t="shared" si="29"/>
        <v>10.269592474210398</v>
      </c>
    </row>
    <row r="1594" spans="1:3" x14ac:dyDescent="0.3">
      <c r="A1594" s="1">
        <v>44362</v>
      </c>
      <c r="B1594">
        <v>28638.529297000001</v>
      </c>
      <c r="C1594">
        <f t="shared" si="29"/>
        <v>10.262508268394324</v>
      </c>
    </row>
    <row r="1595" spans="1:3" x14ac:dyDescent="0.3">
      <c r="A1595" s="1">
        <v>44363</v>
      </c>
      <c r="B1595">
        <v>28436.839843999998</v>
      </c>
      <c r="C1595">
        <f t="shared" si="29"/>
        <v>10.255440761146927</v>
      </c>
    </row>
    <row r="1596" spans="1:3" x14ac:dyDescent="0.3">
      <c r="A1596" s="1">
        <v>44364</v>
      </c>
      <c r="B1596">
        <v>28558.589843999998</v>
      </c>
      <c r="C1596">
        <f t="shared" si="29"/>
        <v>10.25971304002444</v>
      </c>
    </row>
    <row r="1597" spans="1:3" x14ac:dyDescent="0.3">
      <c r="A1597" s="1">
        <v>44365</v>
      </c>
      <c r="B1597">
        <v>28801.269531000002</v>
      </c>
      <c r="C1597">
        <f t="shared" si="29"/>
        <v>10.268174746090001</v>
      </c>
    </row>
    <row r="1598" spans="1:3" x14ac:dyDescent="0.3">
      <c r="A1598" s="1">
        <v>44368</v>
      </c>
      <c r="B1598">
        <v>28489</v>
      </c>
      <c r="C1598">
        <f t="shared" si="29"/>
        <v>10.257273326840833</v>
      </c>
    </row>
    <row r="1599" spans="1:3" x14ac:dyDescent="0.3">
      <c r="A1599" s="1">
        <v>44369</v>
      </c>
      <c r="B1599">
        <v>28309.759765999999</v>
      </c>
      <c r="C1599">
        <f t="shared" si="29"/>
        <v>10.250961892234546</v>
      </c>
    </row>
    <row r="1600" spans="1:3" x14ac:dyDescent="0.3">
      <c r="A1600" s="1">
        <v>44370</v>
      </c>
      <c r="B1600">
        <v>28817.070313</v>
      </c>
      <c r="C1600">
        <f t="shared" si="29"/>
        <v>10.26872320973678</v>
      </c>
    </row>
    <row r="1601" spans="1:3" x14ac:dyDescent="0.3">
      <c r="A1601" s="1">
        <v>44371</v>
      </c>
      <c r="B1601">
        <v>28882.460938</v>
      </c>
      <c r="C1601">
        <f t="shared" si="29"/>
        <v>10.270989801911007</v>
      </c>
    </row>
    <row r="1602" spans="1:3" x14ac:dyDescent="0.3">
      <c r="A1602" s="1">
        <v>44372</v>
      </c>
      <c r="B1602">
        <v>29288.220702999999</v>
      </c>
      <c r="C1602">
        <f t="shared" si="29"/>
        <v>10.284940690383534</v>
      </c>
    </row>
    <row r="1603" spans="1:3" x14ac:dyDescent="0.3">
      <c r="A1603" s="1">
        <v>44375</v>
      </c>
      <c r="B1603">
        <v>29268.300781000002</v>
      </c>
      <c r="C1603">
        <f t="shared" si="29"/>
        <v>10.28426032473805</v>
      </c>
    </row>
    <row r="1604" spans="1:3" x14ac:dyDescent="0.3">
      <c r="A1604" s="1">
        <v>44376</v>
      </c>
      <c r="B1604">
        <v>28994.099609000001</v>
      </c>
      <c r="C1604">
        <f t="shared" si="29"/>
        <v>10.274847626508839</v>
      </c>
    </row>
    <row r="1605" spans="1:3" x14ac:dyDescent="0.3">
      <c r="A1605" s="1">
        <v>44377</v>
      </c>
      <c r="B1605">
        <v>28827.949218999998</v>
      </c>
      <c r="C1605">
        <f t="shared" si="29"/>
        <v>10.269100654526198</v>
      </c>
    </row>
    <row r="1606" spans="1:3" x14ac:dyDescent="0.3">
      <c r="A1606" s="1">
        <v>44379</v>
      </c>
      <c r="B1606">
        <v>28310.419922000001</v>
      </c>
      <c r="C1606">
        <f t="shared" si="29"/>
        <v>10.250985210987814</v>
      </c>
    </row>
    <row r="1607" spans="1:3" x14ac:dyDescent="0.3">
      <c r="A1607" s="1">
        <v>44382</v>
      </c>
      <c r="B1607">
        <v>28143.5</v>
      </c>
      <c r="C1607">
        <f t="shared" ref="C1607:C1670" si="30">LN(B1607)</f>
        <v>10.245071701043518</v>
      </c>
    </row>
    <row r="1608" spans="1:3" x14ac:dyDescent="0.3">
      <c r="A1608" s="1">
        <v>44383</v>
      </c>
      <c r="B1608">
        <v>28072.859375</v>
      </c>
      <c r="C1608">
        <f t="shared" si="30"/>
        <v>10.242558530038989</v>
      </c>
    </row>
    <row r="1609" spans="1:3" x14ac:dyDescent="0.3">
      <c r="A1609" s="1">
        <v>44384</v>
      </c>
      <c r="B1609">
        <v>27960.619140999999</v>
      </c>
      <c r="C1609">
        <f t="shared" si="30"/>
        <v>10.238552339915165</v>
      </c>
    </row>
    <row r="1610" spans="1:3" x14ac:dyDescent="0.3">
      <c r="A1610" s="1">
        <v>44385</v>
      </c>
      <c r="B1610">
        <v>27153.130859000001</v>
      </c>
      <c r="C1610">
        <f t="shared" si="30"/>
        <v>10.209247635803816</v>
      </c>
    </row>
    <row r="1611" spans="1:3" x14ac:dyDescent="0.3">
      <c r="A1611" s="1">
        <v>44386</v>
      </c>
      <c r="B1611">
        <v>27344.539063</v>
      </c>
      <c r="C1611">
        <f t="shared" si="30"/>
        <v>10.216272119284808</v>
      </c>
    </row>
    <row r="1612" spans="1:3" x14ac:dyDescent="0.3">
      <c r="A1612" s="1">
        <v>44389</v>
      </c>
      <c r="B1612">
        <v>27515.240234000001</v>
      </c>
      <c r="C1612">
        <f t="shared" si="30"/>
        <v>10.222495320475188</v>
      </c>
    </row>
    <row r="1613" spans="1:3" x14ac:dyDescent="0.3">
      <c r="A1613" s="1">
        <v>44390</v>
      </c>
      <c r="B1613">
        <v>27963.410156000002</v>
      </c>
      <c r="C1613">
        <f t="shared" si="30"/>
        <v>10.238652154432732</v>
      </c>
    </row>
    <row r="1614" spans="1:3" x14ac:dyDescent="0.3">
      <c r="A1614" s="1">
        <v>44391</v>
      </c>
      <c r="B1614">
        <v>27787.460938</v>
      </c>
      <c r="C1614">
        <f t="shared" si="30"/>
        <v>10.232340152531473</v>
      </c>
    </row>
    <row r="1615" spans="1:3" x14ac:dyDescent="0.3">
      <c r="A1615" s="1">
        <v>44392</v>
      </c>
      <c r="B1615">
        <v>27996.269531000002</v>
      </c>
      <c r="C1615">
        <f t="shared" si="30"/>
        <v>10.239826549245583</v>
      </c>
    </row>
    <row r="1616" spans="1:3" x14ac:dyDescent="0.3">
      <c r="A1616" s="1">
        <v>44393</v>
      </c>
      <c r="B1616">
        <v>28004.679688</v>
      </c>
      <c r="C1616">
        <f t="shared" si="30"/>
        <v>10.240126906906678</v>
      </c>
    </row>
    <row r="1617" spans="1:3" x14ac:dyDescent="0.3">
      <c r="A1617" s="1">
        <v>44396</v>
      </c>
      <c r="B1617">
        <v>27489.779297000001</v>
      </c>
      <c r="C1617">
        <f t="shared" si="30"/>
        <v>10.221569552643977</v>
      </c>
    </row>
    <row r="1618" spans="1:3" x14ac:dyDescent="0.3">
      <c r="A1618" s="1">
        <v>44397</v>
      </c>
      <c r="B1618">
        <v>27259.25</v>
      </c>
      <c r="C1618">
        <f t="shared" si="30"/>
        <v>10.213148192032714</v>
      </c>
    </row>
    <row r="1619" spans="1:3" x14ac:dyDescent="0.3">
      <c r="A1619" s="1">
        <v>44398</v>
      </c>
      <c r="B1619">
        <v>27224.580077999999</v>
      </c>
      <c r="C1619">
        <f t="shared" si="30"/>
        <v>10.211875523549976</v>
      </c>
    </row>
    <row r="1620" spans="1:3" x14ac:dyDescent="0.3">
      <c r="A1620" s="1">
        <v>44399</v>
      </c>
      <c r="B1620">
        <v>27723.839843999998</v>
      </c>
      <c r="C1620">
        <f t="shared" si="30"/>
        <v>10.230047966221305</v>
      </c>
    </row>
    <row r="1621" spans="1:3" x14ac:dyDescent="0.3">
      <c r="A1621" s="1">
        <v>44400</v>
      </c>
      <c r="B1621">
        <v>27321.980468999998</v>
      </c>
      <c r="C1621">
        <f t="shared" si="30"/>
        <v>10.215446802601997</v>
      </c>
    </row>
    <row r="1622" spans="1:3" x14ac:dyDescent="0.3">
      <c r="A1622" s="1">
        <v>44403</v>
      </c>
      <c r="B1622">
        <v>26192.320313</v>
      </c>
      <c r="C1622">
        <f t="shared" si="30"/>
        <v>10.173221528957335</v>
      </c>
    </row>
    <row r="1623" spans="1:3" x14ac:dyDescent="0.3">
      <c r="A1623" s="1">
        <v>44404</v>
      </c>
      <c r="B1623">
        <v>25086.429688</v>
      </c>
      <c r="C1623">
        <f t="shared" si="30"/>
        <v>10.130082329035551</v>
      </c>
    </row>
    <row r="1624" spans="1:3" x14ac:dyDescent="0.3">
      <c r="A1624" s="1">
        <v>44405</v>
      </c>
      <c r="B1624">
        <v>25473.880859000001</v>
      </c>
      <c r="C1624">
        <f t="shared" si="30"/>
        <v>10.145408926174019</v>
      </c>
    </row>
    <row r="1625" spans="1:3" x14ac:dyDescent="0.3">
      <c r="A1625" s="1">
        <v>44406</v>
      </c>
      <c r="B1625">
        <v>26315.320313</v>
      </c>
      <c r="C1625">
        <f t="shared" si="30"/>
        <v>10.177906569972965</v>
      </c>
    </row>
    <row r="1626" spans="1:3" x14ac:dyDescent="0.3">
      <c r="A1626" s="1">
        <v>44407</v>
      </c>
      <c r="B1626">
        <v>25961.029297000001</v>
      </c>
      <c r="C1626">
        <f t="shared" si="30"/>
        <v>10.164351819377158</v>
      </c>
    </row>
    <row r="1627" spans="1:3" x14ac:dyDescent="0.3">
      <c r="A1627" s="1">
        <v>44410</v>
      </c>
      <c r="B1627">
        <v>26235.800781000002</v>
      </c>
      <c r="C1627">
        <f t="shared" si="30"/>
        <v>10.174880199039775</v>
      </c>
    </row>
    <row r="1628" spans="1:3" x14ac:dyDescent="0.3">
      <c r="A1628" s="1">
        <v>44411</v>
      </c>
      <c r="B1628">
        <v>26194.820313</v>
      </c>
      <c r="C1628">
        <f t="shared" si="30"/>
        <v>10.173316972227267</v>
      </c>
    </row>
    <row r="1629" spans="1:3" x14ac:dyDescent="0.3">
      <c r="A1629" s="1">
        <v>44412</v>
      </c>
      <c r="B1629">
        <v>26426.550781000002</v>
      </c>
      <c r="C1629">
        <f t="shared" si="30"/>
        <v>10.182124495147033</v>
      </c>
    </row>
    <row r="1630" spans="1:3" x14ac:dyDescent="0.3">
      <c r="A1630" s="1">
        <v>44413</v>
      </c>
      <c r="B1630">
        <v>26204.689452999999</v>
      </c>
      <c r="C1630">
        <f t="shared" si="30"/>
        <v>10.173693660488695</v>
      </c>
    </row>
    <row r="1631" spans="1:3" x14ac:dyDescent="0.3">
      <c r="A1631" s="1">
        <v>44414</v>
      </c>
      <c r="B1631">
        <v>26179.400390999999</v>
      </c>
      <c r="C1631">
        <f t="shared" si="30"/>
        <v>10.172728135878458</v>
      </c>
    </row>
    <row r="1632" spans="1:3" x14ac:dyDescent="0.3">
      <c r="A1632" s="1">
        <v>44417</v>
      </c>
      <c r="B1632">
        <v>26283.400390999999</v>
      </c>
      <c r="C1632">
        <f t="shared" si="30"/>
        <v>10.176692855057803</v>
      </c>
    </row>
    <row r="1633" spans="1:3" x14ac:dyDescent="0.3">
      <c r="A1633" s="1">
        <v>44418</v>
      </c>
      <c r="B1633">
        <v>26605.619140999999</v>
      </c>
      <c r="C1633">
        <f t="shared" si="30"/>
        <v>10.188877718362772</v>
      </c>
    </row>
    <row r="1634" spans="1:3" x14ac:dyDescent="0.3">
      <c r="A1634" s="1">
        <v>44419</v>
      </c>
      <c r="B1634">
        <v>26660.160156000002</v>
      </c>
      <c r="C1634">
        <f t="shared" si="30"/>
        <v>10.190925601066494</v>
      </c>
    </row>
    <row r="1635" spans="1:3" x14ac:dyDescent="0.3">
      <c r="A1635" s="1">
        <v>44420</v>
      </c>
      <c r="B1635">
        <v>26517.820313</v>
      </c>
      <c r="C1635">
        <f t="shared" si="30"/>
        <v>10.18557225061279</v>
      </c>
    </row>
    <row r="1636" spans="1:3" x14ac:dyDescent="0.3">
      <c r="A1636" s="1">
        <v>44421</v>
      </c>
      <c r="B1636">
        <v>26391.619140999999</v>
      </c>
      <c r="C1636">
        <f t="shared" si="30"/>
        <v>10.180801781954035</v>
      </c>
    </row>
    <row r="1637" spans="1:3" x14ac:dyDescent="0.3">
      <c r="A1637" s="1">
        <v>44424</v>
      </c>
      <c r="B1637">
        <v>26181.460938</v>
      </c>
      <c r="C1637">
        <f t="shared" si="30"/>
        <v>10.172806841497456</v>
      </c>
    </row>
    <row r="1638" spans="1:3" x14ac:dyDescent="0.3">
      <c r="A1638" s="1">
        <v>44425</v>
      </c>
      <c r="B1638">
        <v>25745.869140999999</v>
      </c>
      <c r="C1638">
        <f t="shared" si="30"/>
        <v>10.156029471514206</v>
      </c>
    </row>
    <row r="1639" spans="1:3" x14ac:dyDescent="0.3">
      <c r="A1639" s="1">
        <v>44426</v>
      </c>
      <c r="B1639">
        <v>25867.009765999999</v>
      </c>
      <c r="C1639">
        <f t="shared" si="30"/>
        <v>10.160723681564717</v>
      </c>
    </row>
    <row r="1640" spans="1:3" x14ac:dyDescent="0.3">
      <c r="A1640" s="1">
        <v>44427</v>
      </c>
      <c r="B1640">
        <v>25316.330077999999</v>
      </c>
      <c r="C1640">
        <f t="shared" si="30"/>
        <v>10.139204924125888</v>
      </c>
    </row>
    <row r="1641" spans="1:3" x14ac:dyDescent="0.3">
      <c r="A1641" s="1">
        <v>44428</v>
      </c>
      <c r="B1641">
        <v>24849.720702999999</v>
      </c>
      <c r="C1641">
        <f t="shared" si="30"/>
        <v>10.120601792145719</v>
      </c>
    </row>
    <row r="1642" spans="1:3" x14ac:dyDescent="0.3">
      <c r="A1642" s="1">
        <v>44431</v>
      </c>
      <c r="B1642">
        <v>25109.589843999998</v>
      </c>
      <c r="C1642">
        <f t="shared" si="30"/>
        <v>10.131005117649446</v>
      </c>
    </row>
    <row r="1643" spans="1:3" x14ac:dyDescent="0.3">
      <c r="A1643" s="1">
        <v>44432</v>
      </c>
      <c r="B1643">
        <v>25727.919922000001</v>
      </c>
      <c r="C1643">
        <f t="shared" si="30"/>
        <v>10.155332059489396</v>
      </c>
    </row>
    <row r="1644" spans="1:3" x14ac:dyDescent="0.3">
      <c r="A1644" s="1">
        <v>44433</v>
      </c>
      <c r="B1644">
        <v>25693.949218999998</v>
      </c>
      <c r="C1644">
        <f t="shared" si="30"/>
        <v>10.154010804213794</v>
      </c>
    </row>
    <row r="1645" spans="1:3" x14ac:dyDescent="0.3">
      <c r="A1645" s="1">
        <v>44434</v>
      </c>
      <c r="B1645">
        <v>25415.689452999999</v>
      </c>
      <c r="C1645">
        <f t="shared" si="30"/>
        <v>10.143121957311594</v>
      </c>
    </row>
    <row r="1646" spans="1:3" x14ac:dyDescent="0.3">
      <c r="A1646" s="1">
        <v>44435</v>
      </c>
      <c r="B1646">
        <v>25407.890625</v>
      </c>
      <c r="C1646">
        <f t="shared" si="30"/>
        <v>10.14281505929106</v>
      </c>
    </row>
    <row r="1647" spans="1:3" x14ac:dyDescent="0.3">
      <c r="A1647" s="1">
        <v>44438</v>
      </c>
      <c r="B1647">
        <v>25539.539063</v>
      </c>
      <c r="C1647">
        <f t="shared" si="30"/>
        <v>10.147983081772926</v>
      </c>
    </row>
    <row r="1648" spans="1:3" x14ac:dyDescent="0.3">
      <c r="A1648" s="1">
        <v>44439</v>
      </c>
      <c r="B1648">
        <v>25878.990234000001</v>
      </c>
      <c r="C1648">
        <f t="shared" si="30"/>
        <v>10.16118673062026</v>
      </c>
    </row>
    <row r="1649" spans="1:3" x14ac:dyDescent="0.3">
      <c r="A1649" s="1">
        <v>44440</v>
      </c>
      <c r="B1649">
        <v>26028.289063</v>
      </c>
      <c r="C1649">
        <f t="shared" si="30"/>
        <v>10.166939266400753</v>
      </c>
    </row>
    <row r="1650" spans="1:3" x14ac:dyDescent="0.3">
      <c r="A1650" s="1">
        <v>44441</v>
      </c>
      <c r="B1650">
        <v>26090.429688</v>
      </c>
      <c r="C1650">
        <f t="shared" si="30"/>
        <v>10.169323847447052</v>
      </c>
    </row>
    <row r="1651" spans="1:3" x14ac:dyDescent="0.3">
      <c r="A1651" s="1">
        <v>44442</v>
      </c>
      <c r="B1651">
        <v>25901.990234000001</v>
      </c>
      <c r="C1651">
        <f t="shared" si="30"/>
        <v>10.162075087746938</v>
      </c>
    </row>
    <row r="1652" spans="1:3" x14ac:dyDescent="0.3">
      <c r="A1652" s="1">
        <v>44445</v>
      </c>
      <c r="B1652">
        <v>26163.630859000001</v>
      </c>
      <c r="C1652">
        <f t="shared" si="30"/>
        <v>10.172125590244377</v>
      </c>
    </row>
    <row r="1653" spans="1:3" x14ac:dyDescent="0.3">
      <c r="A1653" s="1">
        <v>44446</v>
      </c>
      <c r="B1653">
        <v>26353.630859000001</v>
      </c>
      <c r="C1653">
        <f t="shared" si="30"/>
        <v>10.179361337987292</v>
      </c>
    </row>
    <row r="1654" spans="1:3" x14ac:dyDescent="0.3">
      <c r="A1654" s="1">
        <v>44447</v>
      </c>
      <c r="B1654">
        <v>26320.929688</v>
      </c>
      <c r="C1654">
        <f t="shared" si="30"/>
        <v>10.178119707307831</v>
      </c>
    </row>
    <row r="1655" spans="1:3" x14ac:dyDescent="0.3">
      <c r="A1655" s="1">
        <v>44448</v>
      </c>
      <c r="B1655">
        <v>25716</v>
      </c>
      <c r="C1655">
        <f t="shared" si="30"/>
        <v>10.154868645261578</v>
      </c>
    </row>
    <row r="1656" spans="1:3" x14ac:dyDescent="0.3">
      <c r="A1656" s="1">
        <v>44449</v>
      </c>
      <c r="B1656">
        <v>26205.910156000002</v>
      </c>
      <c r="C1656">
        <f t="shared" si="30"/>
        <v>10.173740242783472</v>
      </c>
    </row>
    <row r="1657" spans="1:3" x14ac:dyDescent="0.3">
      <c r="A1657" s="1">
        <v>44452</v>
      </c>
      <c r="B1657">
        <v>25813.810547000001</v>
      </c>
      <c r="C1657">
        <f t="shared" si="30"/>
        <v>10.158664920211155</v>
      </c>
    </row>
    <row r="1658" spans="1:3" x14ac:dyDescent="0.3">
      <c r="A1658" s="1">
        <v>44453</v>
      </c>
      <c r="B1658">
        <v>25502.230468999998</v>
      </c>
      <c r="C1658">
        <f t="shared" si="30"/>
        <v>10.146521196693843</v>
      </c>
    </row>
    <row r="1659" spans="1:3" x14ac:dyDescent="0.3">
      <c r="A1659" s="1">
        <v>44454</v>
      </c>
      <c r="B1659">
        <v>25033.210938</v>
      </c>
      <c r="C1659">
        <f t="shared" si="30"/>
        <v>10.127958659777889</v>
      </c>
    </row>
    <row r="1660" spans="1:3" x14ac:dyDescent="0.3">
      <c r="A1660" s="1">
        <v>44455</v>
      </c>
      <c r="B1660">
        <v>24667.849609000001</v>
      </c>
      <c r="C1660">
        <f t="shared" si="30"/>
        <v>10.113256039489913</v>
      </c>
    </row>
    <row r="1661" spans="1:3" x14ac:dyDescent="0.3">
      <c r="A1661" s="1">
        <v>44456</v>
      </c>
      <c r="B1661">
        <v>24920.759765999999</v>
      </c>
      <c r="C1661">
        <f t="shared" si="30"/>
        <v>10.123456460638881</v>
      </c>
    </row>
    <row r="1662" spans="1:3" x14ac:dyDescent="0.3">
      <c r="A1662" s="1">
        <v>44459</v>
      </c>
      <c r="B1662">
        <v>24099.140625</v>
      </c>
      <c r="C1662">
        <f t="shared" si="30"/>
        <v>10.089931460129266</v>
      </c>
    </row>
    <row r="1663" spans="1:3" x14ac:dyDescent="0.3">
      <c r="A1663" s="1">
        <v>44460</v>
      </c>
      <c r="B1663">
        <v>24221.539063</v>
      </c>
      <c r="C1663">
        <f t="shared" si="30"/>
        <v>10.09499756021617</v>
      </c>
    </row>
    <row r="1664" spans="1:3" x14ac:dyDescent="0.3">
      <c r="A1664" s="1">
        <v>44462</v>
      </c>
      <c r="B1664">
        <v>24510.980468999998</v>
      </c>
      <c r="C1664">
        <f t="shared" si="30"/>
        <v>10.106876478537245</v>
      </c>
    </row>
    <row r="1665" spans="1:3" x14ac:dyDescent="0.3">
      <c r="A1665" s="1">
        <v>44463</v>
      </c>
      <c r="B1665">
        <v>24192.160156000002</v>
      </c>
      <c r="C1665">
        <f t="shared" si="30"/>
        <v>10.093783899162373</v>
      </c>
    </row>
    <row r="1666" spans="1:3" x14ac:dyDescent="0.3">
      <c r="A1666" s="1">
        <v>44466</v>
      </c>
      <c r="B1666">
        <v>24208.779297000001</v>
      </c>
      <c r="C1666">
        <f t="shared" si="30"/>
        <v>10.094470627223478</v>
      </c>
    </row>
    <row r="1667" spans="1:3" x14ac:dyDescent="0.3">
      <c r="A1667" s="1">
        <v>44467</v>
      </c>
      <c r="B1667">
        <v>24500.390625</v>
      </c>
      <c r="C1667">
        <f t="shared" si="30"/>
        <v>10.106444340283268</v>
      </c>
    </row>
    <row r="1668" spans="1:3" x14ac:dyDescent="0.3">
      <c r="A1668" s="1">
        <v>44468</v>
      </c>
      <c r="B1668">
        <v>24663.5</v>
      </c>
      <c r="C1668">
        <f t="shared" si="30"/>
        <v>10.113079696898609</v>
      </c>
    </row>
    <row r="1669" spans="1:3" x14ac:dyDescent="0.3">
      <c r="A1669" s="1">
        <v>44469</v>
      </c>
      <c r="B1669">
        <v>24575.640625</v>
      </c>
      <c r="C1669">
        <f t="shared" si="30"/>
        <v>10.109511012834297</v>
      </c>
    </row>
    <row r="1670" spans="1:3" x14ac:dyDescent="0.3">
      <c r="A1670" s="1">
        <v>44473</v>
      </c>
      <c r="B1670">
        <v>24036.369140999999</v>
      </c>
      <c r="C1670">
        <f t="shared" si="30"/>
        <v>10.08732334317413</v>
      </c>
    </row>
    <row r="1671" spans="1:3" x14ac:dyDescent="0.3">
      <c r="A1671" s="1">
        <v>44474</v>
      </c>
      <c r="B1671">
        <v>24104.150390999999</v>
      </c>
      <c r="C1671">
        <f t="shared" ref="C1671:C1734" si="31">LN(B1671)</f>
        <v>10.090139320045569</v>
      </c>
    </row>
    <row r="1672" spans="1:3" x14ac:dyDescent="0.3">
      <c r="A1672" s="1">
        <v>44475</v>
      </c>
      <c r="B1672">
        <v>23966.490234000001</v>
      </c>
      <c r="C1672">
        <f t="shared" si="31"/>
        <v>10.084411893428396</v>
      </c>
    </row>
    <row r="1673" spans="1:3" x14ac:dyDescent="0.3">
      <c r="A1673" s="1">
        <v>44476</v>
      </c>
      <c r="B1673">
        <v>24701.730468999998</v>
      </c>
      <c r="C1673">
        <f t="shared" si="31"/>
        <v>10.114628579635703</v>
      </c>
    </row>
    <row r="1674" spans="1:3" x14ac:dyDescent="0.3">
      <c r="A1674" s="1">
        <v>44477</v>
      </c>
      <c r="B1674">
        <v>24837.849609000001</v>
      </c>
      <c r="C1674">
        <f t="shared" si="31"/>
        <v>10.120123962614054</v>
      </c>
    </row>
    <row r="1675" spans="1:3" x14ac:dyDescent="0.3">
      <c r="A1675" s="1">
        <v>44480</v>
      </c>
      <c r="B1675">
        <v>25325.089843999998</v>
      </c>
      <c r="C1675">
        <f t="shared" si="31"/>
        <v>10.139550876751262</v>
      </c>
    </row>
    <row r="1676" spans="1:3" x14ac:dyDescent="0.3">
      <c r="A1676" s="1">
        <v>44481</v>
      </c>
      <c r="B1676">
        <v>24962.589843999998</v>
      </c>
      <c r="C1676">
        <f t="shared" si="31"/>
        <v>10.125133576876332</v>
      </c>
    </row>
    <row r="1677" spans="1:3" x14ac:dyDescent="0.3">
      <c r="A1677" s="1">
        <v>44484</v>
      </c>
      <c r="B1677">
        <v>25330.960938</v>
      </c>
      <c r="C1677">
        <f t="shared" si="31"/>
        <v>10.139782679030976</v>
      </c>
    </row>
    <row r="1678" spans="1:3" x14ac:dyDescent="0.3">
      <c r="A1678" s="1">
        <v>44487</v>
      </c>
      <c r="B1678">
        <v>25409.75</v>
      </c>
      <c r="C1678">
        <f t="shared" si="31"/>
        <v>10.142888237619609</v>
      </c>
    </row>
    <row r="1679" spans="1:3" x14ac:dyDescent="0.3">
      <c r="A1679" s="1">
        <v>44488</v>
      </c>
      <c r="B1679">
        <v>25787.210938</v>
      </c>
      <c r="C1679">
        <f t="shared" si="31"/>
        <v>10.15763394793229</v>
      </c>
    </row>
    <row r="1680" spans="1:3" x14ac:dyDescent="0.3">
      <c r="A1680" s="1">
        <v>44489</v>
      </c>
      <c r="B1680">
        <v>26136.019531000002</v>
      </c>
      <c r="C1680">
        <f t="shared" si="31"/>
        <v>10.171069700564068</v>
      </c>
    </row>
    <row r="1681" spans="1:3" x14ac:dyDescent="0.3">
      <c r="A1681" s="1">
        <v>44490</v>
      </c>
      <c r="B1681">
        <v>26017.529297000001</v>
      </c>
      <c r="C1681">
        <f t="shared" si="31"/>
        <v>10.166525793561155</v>
      </c>
    </row>
    <row r="1682" spans="1:3" x14ac:dyDescent="0.3">
      <c r="A1682" s="1">
        <v>44491</v>
      </c>
      <c r="B1682">
        <v>26126.929688</v>
      </c>
      <c r="C1682">
        <f t="shared" si="31"/>
        <v>10.170721850194829</v>
      </c>
    </row>
    <row r="1683" spans="1:3" x14ac:dyDescent="0.3">
      <c r="A1683" s="1">
        <v>44494</v>
      </c>
      <c r="B1683">
        <v>26132.029297000001</v>
      </c>
      <c r="C1683">
        <f t="shared" si="31"/>
        <v>10.170917017075887</v>
      </c>
    </row>
    <row r="1684" spans="1:3" x14ac:dyDescent="0.3">
      <c r="A1684" s="1">
        <v>44495</v>
      </c>
      <c r="B1684">
        <v>26038.269531000002</v>
      </c>
      <c r="C1684">
        <f t="shared" si="31"/>
        <v>10.167322639851651</v>
      </c>
    </row>
    <row r="1685" spans="1:3" x14ac:dyDescent="0.3">
      <c r="A1685" s="1">
        <v>44496</v>
      </c>
      <c r="B1685">
        <v>25628.740234000001</v>
      </c>
      <c r="C1685">
        <f t="shared" si="31"/>
        <v>10.151469666140754</v>
      </c>
    </row>
    <row r="1686" spans="1:3" x14ac:dyDescent="0.3">
      <c r="A1686" s="1">
        <v>44497</v>
      </c>
      <c r="B1686">
        <v>25555.730468999998</v>
      </c>
      <c r="C1686">
        <f t="shared" si="31"/>
        <v>10.148616854984819</v>
      </c>
    </row>
    <row r="1687" spans="1:3" x14ac:dyDescent="0.3">
      <c r="A1687" s="1">
        <v>44498</v>
      </c>
      <c r="B1687">
        <v>25377.240234000001</v>
      </c>
      <c r="C1687">
        <f t="shared" si="31"/>
        <v>10.141607997530933</v>
      </c>
    </row>
    <row r="1688" spans="1:3" x14ac:dyDescent="0.3">
      <c r="A1688" s="1">
        <v>44501</v>
      </c>
      <c r="B1688">
        <v>25154.320313</v>
      </c>
      <c r="C1688">
        <f t="shared" si="31"/>
        <v>10.132784942604102</v>
      </c>
    </row>
    <row r="1689" spans="1:3" x14ac:dyDescent="0.3">
      <c r="A1689" s="1">
        <v>44502</v>
      </c>
      <c r="B1689">
        <v>25099.669922000001</v>
      </c>
      <c r="C1689">
        <f t="shared" si="31"/>
        <v>10.130609974515478</v>
      </c>
    </row>
    <row r="1690" spans="1:3" x14ac:dyDescent="0.3">
      <c r="A1690" s="1">
        <v>44503</v>
      </c>
      <c r="B1690">
        <v>25024.75</v>
      </c>
      <c r="C1690">
        <f t="shared" si="31"/>
        <v>10.127620614123531</v>
      </c>
    </row>
    <row r="1691" spans="1:3" x14ac:dyDescent="0.3">
      <c r="A1691" s="1">
        <v>44504</v>
      </c>
      <c r="B1691">
        <v>25225.189452999999</v>
      </c>
      <c r="C1691">
        <f t="shared" si="31"/>
        <v>10.135598355718878</v>
      </c>
    </row>
    <row r="1692" spans="1:3" x14ac:dyDescent="0.3">
      <c r="A1692" s="1">
        <v>44505</v>
      </c>
      <c r="B1692">
        <v>24870.509765999999</v>
      </c>
      <c r="C1692">
        <f t="shared" si="31"/>
        <v>10.121438033812957</v>
      </c>
    </row>
    <row r="1693" spans="1:3" x14ac:dyDescent="0.3">
      <c r="A1693" s="1">
        <v>44508</v>
      </c>
      <c r="B1693">
        <v>24763.769531000002</v>
      </c>
      <c r="C1693">
        <f t="shared" si="31"/>
        <v>10.117136957981376</v>
      </c>
    </row>
    <row r="1694" spans="1:3" x14ac:dyDescent="0.3">
      <c r="A1694" s="1">
        <v>44509</v>
      </c>
      <c r="B1694">
        <v>24813.130859000001</v>
      </c>
      <c r="C1694">
        <f t="shared" si="31"/>
        <v>10.119128262154193</v>
      </c>
    </row>
    <row r="1695" spans="1:3" x14ac:dyDescent="0.3">
      <c r="A1695" s="1">
        <v>44510</v>
      </c>
      <c r="B1695">
        <v>24996.140625</v>
      </c>
      <c r="C1695">
        <f t="shared" si="31"/>
        <v>10.126476716933292</v>
      </c>
    </row>
    <row r="1696" spans="1:3" x14ac:dyDescent="0.3">
      <c r="A1696" s="1">
        <v>44511</v>
      </c>
      <c r="B1696">
        <v>25247.990234000001</v>
      </c>
      <c r="C1696">
        <f t="shared" si="31"/>
        <v>10.13650183684261</v>
      </c>
    </row>
    <row r="1697" spans="1:3" x14ac:dyDescent="0.3">
      <c r="A1697" s="1">
        <v>44512</v>
      </c>
      <c r="B1697">
        <v>25327.970702999999</v>
      </c>
      <c r="C1697">
        <f t="shared" si="31"/>
        <v>10.139664625416081</v>
      </c>
    </row>
    <row r="1698" spans="1:3" x14ac:dyDescent="0.3">
      <c r="A1698" s="1">
        <v>44515</v>
      </c>
      <c r="B1698">
        <v>25390.910156000002</v>
      </c>
      <c r="C1698">
        <f t="shared" si="31"/>
        <v>10.142146521082623</v>
      </c>
    </row>
    <row r="1699" spans="1:3" x14ac:dyDescent="0.3">
      <c r="A1699" s="1">
        <v>44516</v>
      </c>
      <c r="B1699">
        <v>25713.779297000001</v>
      </c>
      <c r="C1699">
        <f t="shared" si="31"/>
        <v>10.154782286617548</v>
      </c>
    </row>
    <row r="1700" spans="1:3" x14ac:dyDescent="0.3">
      <c r="A1700" s="1">
        <v>44517</v>
      </c>
      <c r="B1700">
        <v>25650.080077999999</v>
      </c>
      <c r="C1700">
        <f t="shared" si="31"/>
        <v>10.152301972543359</v>
      </c>
    </row>
    <row r="1701" spans="1:3" x14ac:dyDescent="0.3">
      <c r="A1701" s="1">
        <v>44518</v>
      </c>
      <c r="B1701">
        <v>25319.720702999999</v>
      </c>
      <c r="C1701">
        <f t="shared" si="31"/>
        <v>10.139338845510069</v>
      </c>
    </row>
    <row r="1702" spans="1:3" x14ac:dyDescent="0.3">
      <c r="A1702" s="1">
        <v>44519</v>
      </c>
      <c r="B1702">
        <v>25049.970702999999</v>
      </c>
      <c r="C1702">
        <f t="shared" si="31"/>
        <v>10.128627936971409</v>
      </c>
    </row>
    <row r="1703" spans="1:3" x14ac:dyDescent="0.3">
      <c r="A1703" s="1">
        <v>44522</v>
      </c>
      <c r="B1703">
        <v>24951.339843999998</v>
      </c>
      <c r="C1703">
        <f t="shared" si="31"/>
        <v>10.124682800900134</v>
      </c>
    </row>
    <row r="1704" spans="1:3" x14ac:dyDescent="0.3">
      <c r="A1704" s="1">
        <v>44523</v>
      </c>
      <c r="B1704">
        <v>24651.580077999999</v>
      </c>
      <c r="C1704">
        <f t="shared" si="31"/>
        <v>10.112596277943869</v>
      </c>
    </row>
    <row r="1705" spans="1:3" x14ac:dyDescent="0.3">
      <c r="A1705" s="1">
        <v>44524</v>
      </c>
      <c r="B1705">
        <v>24685.5</v>
      </c>
      <c r="C1705">
        <f t="shared" si="31"/>
        <v>10.113971305703547</v>
      </c>
    </row>
    <row r="1706" spans="1:3" x14ac:dyDescent="0.3">
      <c r="A1706" s="1">
        <v>44525</v>
      </c>
      <c r="B1706">
        <v>24740.160156000002</v>
      </c>
      <c r="C1706">
        <f t="shared" si="31"/>
        <v>10.116183119490602</v>
      </c>
    </row>
    <row r="1707" spans="1:3" x14ac:dyDescent="0.3">
      <c r="A1707" s="1">
        <v>44526</v>
      </c>
      <c r="B1707">
        <v>24080.519531000002</v>
      </c>
      <c r="C1707">
        <f t="shared" si="31"/>
        <v>10.089158474397657</v>
      </c>
    </row>
    <row r="1708" spans="1:3" x14ac:dyDescent="0.3">
      <c r="A1708" s="1">
        <v>44529</v>
      </c>
      <c r="B1708">
        <v>23852.240234000001</v>
      </c>
      <c r="C1708">
        <f t="shared" si="31"/>
        <v>10.079633422052078</v>
      </c>
    </row>
    <row r="1709" spans="1:3" x14ac:dyDescent="0.3">
      <c r="A1709" s="1">
        <v>44530</v>
      </c>
      <c r="B1709">
        <v>23475.259765999999</v>
      </c>
      <c r="C1709">
        <f t="shared" si="31"/>
        <v>10.063702369659543</v>
      </c>
    </row>
    <row r="1710" spans="1:3" x14ac:dyDescent="0.3">
      <c r="A1710" s="1">
        <v>44531</v>
      </c>
      <c r="B1710">
        <v>23658.919922000001</v>
      </c>
      <c r="C1710">
        <f t="shared" si="31"/>
        <v>10.071495486532653</v>
      </c>
    </row>
    <row r="1711" spans="1:3" x14ac:dyDescent="0.3">
      <c r="A1711" s="1">
        <v>44532</v>
      </c>
      <c r="B1711">
        <v>23788.929688</v>
      </c>
      <c r="C1711">
        <f t="shared" si="31"/>
        <v>10.076975612289127</v>
      </c>
    </row>
    <row r="1712" spans="1:3" x14ac:dyDescent="0.3">
      <c r="A1712" s="1">
        <v>44533</v>
      </c>
      <c r="B1712">
        <v>23766.689452999999</v>
      </c>
      <c r="C1712">
        <f t="shared" si="31"/>
        <v>10.076040276485571</v>
      </c>
    </row>
    <row r="1713" spans="1:3" x14ac:dyDescent="0.3">
      <c r="A1713" s="1">
        <v>44536</v>
      </c>
      <c r="B1713">
        <v>23349.380859000001</v>
      </c>
      <c r="C1713">
        <f t="shared" si="31"/>
        <v>10.058325747070979</v>
      </c>
    </row>
    <row r="1714" spans="1:3" x14ac:dyDescent="0.3">
      <c r="A1714" s="1">
        <v>44537</v>
      </c>
      <c r="B1714">
        <v>23983.660156000002</v>
      </c>
      <c r="C1714">
        <f t="shared" si="31"/>
        <v>10.085128050628914</v>
      </c>
    </row>
    <row r="1715" spans="1:3" x14ac:dyDescent="0.3">
      <c r="A1715" s="1">
        <v>44538</v>
      </c>
      <c r="B1715">
        <v>23996.869140999999</v>
      </c>
      <c r="C1715">
        <f t="shared" si="31"/>
        <v>10.085678648362087</v>
      </c>
    </row>
    <row r="1716" spans="1:3" x14ac:dyDescent="0.3">
      <c r="A1716" s="1">
        <v>44539</v>
      </c>
      <c r="B1716">
        <v>24254.859375</v>
      </c>
      <c r="C1716">
        <f t="shared" si="31"/>
        <v>10.096372262888854</v>
      </c>
    </row>
    <row r="1717" spans="1:3" x14ac:dyDescent="0.3">
      <c r="A1717" s="1">
        <v>44540</v>
      </c>
      <c r="B1717">
        <v>23995.720702999999</v>
      </c>
      <c r="C1717">
        <f t="shared" si="31"/>
        <v>10.085630789390361</v>
      </c>
    </row>
    <row r="1718" spans="1:3" x14ac:dyDescent="0.3">
      <c r="A1718" s="1">
        <v>44543</v>
      </c>
      <c r="B1718">
        <v>23954.580077999999</v>
      </c>
      <c r="C1718">
        <f t="shared" si="31"/>
        <v>10.083914819545543</v>
      </c>
    </row>
    <row r="1719" spans="1:3" x14ac:dyDescent="0.3">
      <c r="A1719" s="1">
        <v>44544</v>
      </c>
      <c r="B1719">
        <v>23635.949218999998</v>
      </c>
      <c r="C1719">
        <f t="shared" si="31"/>
        <v>10.070524104003281</v>
      </c>
    </row>
    <row r="1720" spans="1:3" x14ac:dyDescent="0.3">
      <c r="A1720" s="1">
        <v>44545</v>
      </c>
      <c r="B1720">
        <v>23420.759765999999</v>
      </c>
      <c r="C1720">
        <f t="shared" si="31"/>
        <v>10.061378077530723</v>
      </c>
    </row>
    <row r="1721" spans="1:3" x14ac:dyDescent="0.3">
      <c r="A1721" s="1">
        <v>44546</v>
      </c>
      <c r="B1721">
        <v>23475.5</v>
      </c>
      <c r="C1721">
        <f t="shared" si="31"/>
        <v>10.063712603104165</v>
      </c>
    </row>
    <row r="1722" spans="1:3" x14ac:dyDescent="0.3">
      <c r="A1722" s="1">
        <v>44547</v>
      </c>
      <c r="B1722">
        <v>23192.630859000001</v>
      </c>
      <c r="C1722">
        <f t="shared" si="31"/>
        <v>10.051589871809666</v>
      </c>
    </row>
    <row r="1723" spans="1:3" x14ac:dyDescent="0.3">
      <c r="A1723" s="1">
        <v>44550</v>
      </c>
      <c r="B1723">
        <v>22744.859375</v>
      </c>
      <c r="C1723">
        <f t="shared" si="31"/>
        <v>10.03209443730748</v>
      </c>
    </row>
    <row r="1724" spans="1:3" x14ac:dyDescent="0.3">
      <c r="A1724" s="1">
        <v>44551</v>
      </c>
      <c r="B1724">
        <v>22971.330077999999</v>
      </c>
      <c r="C1724">
        <f t="shared" si="31"/>
        <v>10.042002199013243</v>
      </c>
    </row>
    <row r="1725" spans="1:3" x14ac:dyDescent="0.3">
      <c r="A1725" s="1">
        <v>44552</v>
      </c>
      <c r="B1725">
        <v>23102.330077999999</v>
      </c>
      <c r="C1725">
        <f t="shared" si="31"/>
        <v>10.047688760600421</v>
      </c>
    </row>
    <row r="1726" spans="1:3" x14ac:dyDescent="0.3">
      <c r="A1726" s="1">
        <v>44553</v>
      </c>
      <c r="B1726">
        <v>23193.640625</v>
      </c>
      <c r="C1726">
        <f t="shared" si="31"/>
        <v>10.051633409087737</v>
      </c>
    </row>
    <row r="1727" spans="1:3" x14ac:dyDescent="0.3">
      <c r="A1727" s="1">
        <v>44554</v>
      </c>
      <c r="B1727">
        <v>23223.759765999999</v>
      </c>
      <c r="C1727">
        <f t="shared" si="31"/>
        <v>10.052931161438082</v>
      </c>
    </row>
    <row r="1728" spans="1:3" x14ac:dyDescent="0.3">
      <c r="A1728" s="1">
        <v>44558</v>
      </c>
      <c r="B1728">
        <v>23280.560547000001</v>
      </c>
      <c r="C1728">
        <f t="shared" si="31"/>
        <v>10.055373980034874</v>
      </c>
    </row>
    <row r="1729" spans="1:3" x14ac:dyDescent="0.3">
      <c r="A1729" s="1">
        <v>44559</v>
      </c>
      <c r="B1729">
        <v>23086.539063</v>
      </c>
      <c r="C1729">
        <f t="shared" si="31"/>
        <v>10.047005002114496</v>
      </c>
    </row>
    <row r="1730" spans="1:3" x14ac:dyDescent="0.3">
      <c r="A1730" s="1">
        <v>44560</v>
      </c>
      <c r="B1730">
        <v>23112.009765999999</v>
      </c>
      <c r="C1730">
        <f t="shared" si="31"/>
        <v>10.048107664697037</v>
      </c>
    </row>
    <row r="1731" spans="1:3" x14ac:dyDescent="0.3">
      <c r="A1731" s="1">
        <v>44561</v>
      </c>
      <c r="B1731">
        <v>23397.669922000001</v>
      </c>
      <c r="C1731">
        <f t="shared" si="31"/>
        <v>10.060391720404869</v>
      </c>
    </row>
    <row r="1732" spans="1:3" x14ac:dyDescent="0.3">
      <c r="A1732" s="1">
        <v>44564</v>
      </c>
      <c r="B1732">
        <v>23274.75</v>
      </c>
      <c r="C1732">
        <f t="shared" si="31"/>
        <v>10.055124360949021</v>
      </c>
    </row>
    <row r="1733" spans="1:3" x14ac:dyDescent="0.3">
      <c r="A1733" s="1">
        <v>44565</v>
      </c>
      <c r="B1733">
        <v>23289.839843999998</v>
      </c>
      <c r="C1733">
        <f t="shared" si="31"/>
        <v>10.055772486255345</v>
      </c>
    </row>
    <row r="1734" spans="1:3" x14ac:dyDescent="0.3">
      <c r="A1734" s="1">
        <v>44566</v>
      </c>
      <c r="B1734">
        <v>22907.25</v>
      </c>
      <c r="C1734">
        <f t="shared" si="31"/>
        <v>10.039208733323525</v>
      </c>
    </row>
    <row r="1735" spans="1:3" x14ac:dyDescent="0.3">
      <c r="A1735" s="1">
        <v>44567</v>
      </c>
      <c r="B1735">
        <v>23072.859375</v>
      </c>
      <c r="C1735">
        <f t="shared" ref="C1735:C1798" si="32">LN(B1735)</f>
        <v>10.046412286920477</v>
      </c>
    </row>
    <row r="1736" spans="1:3" x14ac:dyDescent="0.3">
      <c r="A1736" s="1">
        <v>44568</v>
      </c>
      <c r="B1736">
        <v>23493.380859000001</v>
      </c>
      <c r="C1736">
        <f t="shared" si="32"/>
        <v>10.064473994882585</v>
      </c>
    </row>
    <row r="1737" spans="1:3" x14ac:dyDescent="0.3">
      <c r="A1737" s="1">
        <v>44571</v>
      </c>
      <c r="B1737">
        <v>23746.539063</v>
      </c>
      <c r="C1737">
        <f t="shared" si="32"/>
        <v>10.075192075180905</v>
      </c>
    </row>
    <row r="1738" spans="1:3" x14ac:dyDescent="0.3">
      <c r="A1738" s="1">
        <v>44572</v>
      </c>
      <c r="B1738">
        <v>23739.060547000001</v>
      </c>
      <c r="C1738">
        <f t="shared" si="32"/>
        <v>10.074877094802716</v>
      </c>
    </row>
    <row r="1739" spans="1:3" x14ac:dyDescent="0.3">
      <c r="A1739" s="1">
        <v>44573</v>
      </c>
      <c r="B1739">
        <v>24402.169922000001</v>
      </c>
      <c r="C1739">
        <f t="shared" si="32"/>
        <v>10.102427338556653</v>
      </c>
    </row>
    <row r="1740" spans="1:3" x14ac:dyDescent="0.3">
      <c r="A1740" s="1">
        <v>44574</v>
      </c>
      <c r="B1740">
        <v>24429.769531000002</v>
      </c>
      <c r="C1740">
        <f t="shared" si="32"/>
        <v>10.103557730355465</v>
      </c>
    </row>
    <row r="1741" spans="1:3" x14ac:dyDescent="0.3">
      <c r="A1741" s="1">
        <v>44575</v>
      </c>
      <c r="B1741">
        <v>24383.320313</v>
      </c>
      <c r="C1741">
        <f t="shared" si="32"/>
        <v>10.101654583795055</v>
      </c>
    </row>
    <row r="1742" spans="1:3" x14ac:dyDescent="0.3">
      <c r="A1742" s="1">
        <v>44578</v>
      </c>
      <c r="B1742">
        <v>24218.029297000001</v>
      </c>
      <c r="C1742">
        <f t="shared" si="32"/>
        <v>10.094852647033623</v>
      </c>
    </row>
    <row r="1743" spans="1:3" x14ac:dyDescent="0.3">
      <c r="A1743" s="1">
        <v>44579</v>
      </c>
      <c r="B1743">
        <v>24112.779297000001</v>
      </c>
      <c r="C1743">
        <f t="shared" si="32"/>
        <v>10.090497240226217</v>
      </c>
    </row>
    <row r="1744" spans="1:3" x14ac:dyDescent="0.3">
      <c r="A1744" s="1">
        <v>44580</v>
      </c>
      <c r="B1744">
        <v>24127.849609000001</v>
      </c>
      <c r="C1744">
        <f t="shared" si="32"/>
        <v>10.091122037739517</v>
      </c>
    </row>
    <row r="1745" spans="1:3" x14ac:dyDescent="0.3">
      <c r="A1745" s="1">
        <v>44581</v>
      </c>
      <c r="B1745">
        <v>24952.349609000001</v>
      </c>
      <c r="C1745">
        <f t="shared" si="32"/>
        <v>10.124723269451104</v>
      </c>
    </row>
    <row r="1746" spans="1:3" x14ac:dyDescent="0.3">
      <c r="A1746" s="1">
        <v>44582</v>
      </c>
      <c r="B1746">
        <v>24965.550781000002</v>
      </c>
      <c r="C1746">
        <f t="shared" si="32"/>
        <v>10.125252184818322</v>
      </c>
    </row>
    <row r="1747" spans="1:3" x14ac:dyDescent="0.3">
      <c r="A1747" s="1">
        <v>44585</v>
      </c>
      <c r="B1747">
        <v>24656.460938</v>
      </c>
      <c r="C1747">
        <f t="shared" si="32"/>
        <v>10.112794252145049</v>
      </c>
    </row>
    <row r="1748" spans="1:3" x14ac:dyDescent="0.3">
      <c r="A1748" s="1">
        <v>44586</v>
      </c>
      <c r="B1748">
        <v>24243.609375</v>
      </c>
      <c r="C1748">
        <f t="shared" si="32"/>
        <v>10.095908330707417</v>
      </c>
    </row>
    <row r="1749" spans="1:3" x14ac:dyDescent="0.3">
      <c r="A1749" s="1">
        <v>44587</v>
      </c>
      <c r="B1749">
        <v>24289.900390999999</v>
      </c>
      <c r="C1749">
        <f t="shared" si="32"/>
        <v>10.097815921164425</v>
      </c>
    </row>
    <row r="1750" spans="1:3" x14ac:dyDescent="0.3">
      <c r="A1750" s="1">
        <v>44588</v>
      </c>
      <c r="B1750">
        <v>23807</v>
      </c>
      <c r="C1750">
        <f t="shared" si="32"/>
        <v>10.077734934062509</v>
      </c>
    </row>
    <row r="1751" spans="1:3" x14ac:dyDescent="0.3">
      <c r="A1751" s="1">
        <v>44589</v>
      </c>
      <c r="B1751">
        <v>23550.080077999999</v>
      </c>
      <c r="C1751">
        <f t="shared" si="32"/>
        <v>10.066884499778485</v>
      </c>
    </row>
    <row r="1752" spans="1:3" x14ac:dyDescent="0.3">
      <c r="A1752" s="1">
        <v>44592</v>
      </c>
      <c r="B1752">
        <v>23802.259765999999</v>
      </c>
      <c r="C1752">
        <f t="shared" si="32"/>
        <v>10.077535803303537</v>
      </c>
    </row>
    <row r="1753" spans="1:3" x14ac:dyDescent="0.3">
      <c r="A1753" s="1">
        <v>44596</v>
      </c>
      <c r="B1753">
        <v>24573.289063</v>
      </c>
      <c r="C1753">
        <f t="shared" si="32"/>
        <v>10.109415321554071</v>
      </c>
    </row>
    <row r="1754" spans="1:3" x14ac:dyDescent="0.3">
      <c r="A1754" s="1">
        <v>44599</v>
      </c>
      <c r="B1754">
        <v>24579.550781000002</v>
      </c>
      <c r="C1754">
        <f t="shared" si="32"/>
        <v>10.109670107159694</v>
      </c>
    </row>
    <row r="1755" spans="1:3" x14ac:dyDescent="0.3">
      <c r="A1755" s="1">
        <v>44600</v>
      </c>
      <c r="B1755">
        <v>24329.490234000001</v>
      </c>
      <c r="C1755">
        <f t="shared" si="32"/>
        <v>10.099444483400239</v>
      </c>
    </row>
    <row r="1756" spans="1:3" x14ac:dyDescent="0.3">
      <c r="A1756" s="1">
        <v>44601</v>
      </c>
      <c r="B1756">
        <v>24829.990234000001</v>
      </c>
      <c r="C1756">
        <f t="shared" si="32"/>
        <v>10.119807485187597</v>
      </c>
    </row>
    <row r="1757" spans="1:3" x14ac:dyDescent="0.3">
      <c r="A1757" s="1">
        <v>44602</v>
      </c>
      <c r="B1757">
        <v>24924.349609000001</v>
      </c>
      <c r="C1757">
        <f t="shared" si="32"/>
        <v>10.123600500567822</v>
      </c>
    </row>
    <row r="1758" spans="1:3" x14ac:dyDescent="0.3">
      <c r="A1758" s="1">
        <v>44603</v>
      </c>
      <c r="B1758">
        <v>24906.660156000002</v>
      </c>
      <c r="C1758">
        <f t="shared" si="32"/>
        <v>10.122890522832011</v>
      </c>
    </row>
    <row r="1759" spans="1:3" x14ac:dyDescent="0.3">
      <c r="A1759" s="1">
        <v>44606</v>
      </c>
      <c r="B1759">
        <v>24556.570313</v>
      </c>
      <c r="C1759">
        <f t="shared" si="32"/>
        <v>10.108734727273619</v>
      </c>
    </row>
    <row r="1760" spans="1:3" x14ac:dyDescent="0.3">
      <c r="A1760" s="1">
        <v>44607</v>
      </c>
      <c r="B1760">
        <v>24355.710938</v>
      </c>
      <c r="C1760">
        <f t="shared" si="32"/>
        <v>10.100521636453077</v>
      </c>
    </row>
    <row r="1761" spans="1:3" x14ac:dyDescent="0.3">
      <c r="A1761" s="1">
        <v>44608</v>
      </c>
      <c r="B1761">
        <v>24718.900390999999</v>
      </c>
      <c r="C1761">
        <f t="shared" si="32"/>
        <v>10.115323428017524</v>
      </c>
    </row>
    <row r="1762" spans="1:3" x14ac:dyDescent="0.3">
      <c r="A1762" s="1">
        <v>44609</v>
      </c>
      <c r="B1762">
        <v>24792.769531000002</v>
      </c>
      <c r="C1762">
        <f t="shared" si="32"/>
        <v>10.118307338474414</v>
      </c>
    </row>
    <row r="1763" spans="1:3" x14ac:dyDescent="0.3">
      <c r="A1763" s="1">
        <v>44610</v>
      </c>
      <c r="B1763">
        <v>24327.710938</v>
      </c>
      <c r="C1763">
        <f t="shared" si="32"/>
        <v>10.099371347422093</v>
      </c>
    </row>
    <row r="1764" spans="1:3" x14ac:dyDescent="0.3">
      <c r="A1764" s="1">
        <v>44613</v>
      </c>
      <c r="B1764">
        <v>24170.070313</v>
      </c>
      <c r="C1764">
        <f t="shared" si="32"/>
        <v>10.092870382795491</v>
      </c>
    </row>
    <row r="1765" spans="1:3" x14ac:dyDescent="0.3">
      <c r="A1765" s="1">
        <v>44614</v>
      </c>
      <c r="B1765">
        <v>23520</v>
      </c>
      <c r="C1765">
        <f t="shared" si="32"/>
        <v>10.065606402012563</v>
      </c>
    </row>
    <row r="1766" spans="1:3" x14ac:dyDescent="0.3">
      <c r="A1766" s="1">
        <v>44615</v>
      </c>
      <c r="B1766">
        <v>23660.279297000001</v>
      </c>
      <c r="C1766">
        <f t="shared" si="32"/>
        <v>10.071552942069635</v>
      </c>
    </row>
    <row r="1767" spans="1:3" x14ac:dyDescent="0.3">
      <c r="A1767" s="1">
        <v>44616</v>
      </c>
      <c r="B1767">
        <v>22901.560547000001</v>
      </c>
      <c r="C1767">
        <f t="shared" si="32"/>
        <v>10.038960333377693</v>
      </c>
    </row>
    <row r="1768" spans="1:3" x14ac:dyDescent="0.3">
      <c r="A1768" s="1">
        <v>44617</v>
      </c>
      <c r="B1768">
        <v>22767.179688</v>
      </c>
      <c r="C1768">
        <f t="shared" si="32"/>
        <v>10.033075290516829</v>
      </c>
    </row>
    <row r="1769" spans="1:3" x14ac:dyDescent="0.3">
      <c r="A1769" s="1">
        <v>44620</v>
      </c>
      <c r="B1769">
        <v>22713.019531000002</v>
      </c>
      <c r="C1769">
        <f t="shared" si="32"/>
        <v>10.030693586675067</v>
      </c>
    </row>
    <row r="1770" spans="1:3" x14ac:dyDescent="0.3">
      <c r="A1770" s="1">
        <v>44621</v>
      </c>
      <c r="B1770">
        <v>22761.710938</v>
      </c>
      <c r="C1770">
        <f t="shared" si="32"/>
        <v>10.032835058437763</v>
      </c>
    </row>
    <row r="1771" spans="1:3" x14ac:dyDescent="0.3">
      <c r="A1771" s="1">
        <v>44622</v>
      </c>
      <c r="B1771">
        <v>22343.919922000001</v>
      </c>
      <c r="C1771">
        <f t="shared" si="32"/>
        <v>10.014309523748201</v>
      </c>
    </row>
    <row r="1772" spans="1:3" x14ac:dyDescent="0.3">
      <c r="A1772" s="1">
        <v>44623</v>
      </c>
      <c r="B1772">
        <v>22467.339843999998</v>
      </c>
      <c r="C1772">
        <f t="shared" si="32"/>
        <v>10.019817971166185</v>
      </c>
    </row>
    <row r="1773" spans="1:3" x14ac:dyDescent="0.3">
      <c r="A1773" s="1">
        <v>44624</v>
      </c>
      <c r="B1773">
        <v>21905.289063</v>
      </c>
      <c r="C1773">
        <f t="shared" si="32"/>
        <v>9.9944833963718409</v>
      </c>
    </row>
    <row r="1774" spans="1:3" x14ac:dyDescent="0.3">
      <c r="A1774" s="1">
        <v>44627</v>
      </c>
      <c r="B1774">
        <v>21057.630859000001</v>
      </c>
      <c r="C1774">
        <f t="shared" si="32"/>
        <v>9.9550182845356385</v>
      </c>
    </row>
    <row r="1775" spans="1:3" x14ac:dyDescent="0.3">
      <c r="A1775" s="1">
        <v>44628</v>
      </c>
      <c r="B1775">
        <v>20765.869140999999</v>
      </c>
      <c r="C1775">
        <f t="shared" si="32"/>
        <v>9.9410660112447768</v>
      </c>
    </row>
    <row r="1776" spans="1:3" x14ac:dyDescent="0.3">
      <c r="A1776" s="1">
        <v>44629</v>
      </c>
      <c r="B1776">
        <v>20627.710938</v>
      </c>
      <c r="C1776">
        <f t="shared" si="32"/>
        <v>9.9343906419836596</v>
      </c>
    </row>
    <row r="1777" spans="1:3" x14ac:dyDescent="0.3">
      <c r="A1777" s="1">
        <v>44630</v>
      </c>
      <c r="B1777">
        <v>20890.259765999999</v>
      </c>
      <c r="C1777">
        <f t="shared" si="32"/>
        <v>9.9470382894182485</v>
      </c>
    </row>
    <row r="1778" spans="1:3" x14ac:dyDescent="0.3">
      <c r="A1778" s="1">
        <v>44631</v>
      </c>
      <c r="B1778">
        <v>20553.789063</v>
      </c>
      <c r="C1778">
        <f t="shared" si="32"/>
        <v>9.9308005855557298</v>
      </c>
    </row>
    <row r="1779" spans="1:3" x14ac:dyDescent="0.3">
      <c r="A1779" s="1">
        <v>44634</v>
      </c>
      <c r="B1779">
        <v>19531.660156000002</v>
      </c>
      <c r="C1779">
        <f t="shared" si="32"/>
        <v>9.8797920256855161</v>
      </c>
    </row>
    <row r="1780" spans="1:3" x14ac:dyDescent="0.3">
      <c r="A1780" s="1">
        <v>44635</v>
      </c>
      <c r="B1780">
        <v>18415.080077999999</v>
      </c>
      <c r="C1780">
        <f t="shared" si="32"/>
        <v>9.8209251773899382</v>
      </c>
    </row>
    <row r="1781" spans="1:3" x14ac:dyDescent="0.3">
      <c r="A1781" s="1">
        <v>44636</v>
      </c>
      <c r="B1781">
        <v>20087.5</v>
      </c>
      <c r="C1781">
        <f t="shared" si="32"/>
        <v>9.907853010045768</v>
      </c>
    </row>
    <row r="1782" spans="1:3" x14ac:dyDescent="0.3">
      <c r="A1782" s="1">
        <v>44637</v>
      </c>
      <c r="B1782">
        <v>21501.230468999998</v>
      </c>
      <c r="C1782">
        <f t="shared" si="32"/>
        <v>9.9758654435943956</v>
      </c>
    </row>
    <row r="1783" spans="1:3" x14ac:dyDescent="0.3">
      <c r="A1783" s="1">
        <v>44638</v>
      </c>
      <c r="B1783">
        <v>21412.400390999999</v>
      </c>
      <c r="C1783">
        <f t="shared" si="32"/>
        <v>9.9717254907126236</v>
      </c>
    </row>
    <row r="1784" spans="1:3" x14ac:dyDescent="0.3">
      <c r="A1784" s="1">
        <v>44641</v>
      </c>
      <c r="B1784">
        <v>21221.339843999998</v>
      </c>
      <c r="C1784">
        <f t="shared" si="32"/>
        <v>9.962762550796743</v>
      </c>
    </row>
    <row r="1785" spans="1:3" x14ac:dyDescent="0.3">
      <c r="A1785" s="1">
        <v>44642</v>
      </c>
      <c r="B1785">
        <v>21889.279297000001</v>
      </c>
      <c r="C1785">
        <f t="shared" si="32"/>
        <v>9.9937522661284017</v>
      </c>
    </row>
    <row r="1786" spans="1:3" x14ac:dyDescent="0.3">
      <c r="A1786" s="1">
        <v>44643</v>
      </c>
      <c r="B1786">
        <v>22154.080077999999</v>
      </c>
      <c r="C1786">
        <f t="shared" si="32"/>
        <v>10.005776960677188</v>
      </c>
    </row>
    <row r="1787" spans="1:3" x14ac:dyDescent="0.3">
      <c r="A1787" s="1">
        <v>44644</v>
      </c>
      <c r="B1787">
        <v>21945.949218999998</v>
      </c>
      <c r="C1787">
        <f t="shared" si="32"/>
        <v>9.9963378556412046</v>
      </c>
    </row>
    <row r="1788" spans="1:3" x14ac:dyDescent="0.3">
      <c r="A1788" s="1">
        <v>44645</v>
      </c>
      <c r="B1788">
        <v>21404.880859000001</v>
      </c>
      <c r="C1788">
        <f t="shared" si="32"/>
        <v>9.9713742525275837</v>
      </c>
    </row>
    <row r="1789" spans="1:3" x14ac:dyDescent="0.3">
      <c r="A1789" s="1">
        <v>44648</v>
      </c>
      <c r="B1789">
        <v>21684.970702999999</v>
      </c>
      <c r="C1789">
        <f t="shared" si="32"/>
        <v>9.9843747052424998</v>
      </c>
    </row>
    <row r="1790" spans="1:3" x14ac:dyDescent="0.3">
      <c r="A1790" s="1">
        <v>44649</v>
      </c>
      <c r="B1790">
        <v>21927.630859000001</v>
      </c>
      <c r="C1790">
        <f t="shared" si="32"/>
        <v>9.9955028036107159</v>
      </c>
    </row>
    <row r="1791" spans="1:3" x14ac:dyDescent="0.3">
      <c r="A1791" s="1">
        <v>44650</v>
      </c>
      <c r="B1791">
        <v>22232.029297000001</v>
      </c>
      <c r="C1791">
        <f t="shared" si="32"/>
        <v>10.009289289206645</v>
      </c>
    </row>
    <row r="1792" spans="1:3" x14ac:dyDescent="0.3">
      <c r="A1792" s="1">
        <v>44651</v>
      </c>
      <c r="B1792">
        <v>21996.849609000001</v>
      </c>
      <c r="C1792">
        <f t="shared" si="32"/>
        <v>9.998654522495503</v>
      </c>
    </row>
    <row r="1793" spans="1:3" x14ac:dyDescent="0.3">
      <c r="A1793" s="1">
        <v>44652</v>
      </c>
      <c r="B1793">
        <v>22039.550781000002</v>
      </c>
      <c r="C1793">
        <f t="shared" si="32"/>
        <v>10.00059388107184</v>
      </c>
    </row>
    <row r="1794" spans="1:3" x14ac:dyDescent="0.3">
      <c r="A1794" s="1">
        <v>44655</v>
      </c>
      <c r="B1794">
        <v>22502.310547000001</v>
      </c>
      <c r="C1794">
        <f t="shared" si="32"/>
        <v>10.021373273897932</v>
      </c>
    </row>
    <row r="1795" spans="1:3" x14ac:dyDescent="0.3">
      <c r="A1795" s="1">
        <v>44657</v>
      </c>
      <c r="B1795">
        <v>22080.519531000002</v>
      </c>
      <c r="C1795">
        <f t="shared" si="32"/>
        <v>10.002451029597914</v>
      </c>
    </row>
    <row r="1796" spans="1:3" x14ac:dyDescent="0.3">
      <c r="A1796" s="1">
        <v>44658</v>
      </c>
      <c r="B1796">
        <v>21808.980468999998</v>
      </c>
      <c r="C1796">
        <f t="shared" si="32"/>
        <v>9.9900771120691161</v>
      </c>
    </row>
    <row r="1797" spans="1:3" x14ac:dyDescent="0.3">
      <c r="A1797" s="1">
        <v>44659</v>
      </c>
      <c r="B1797">
        <v>21872.009765999999</v>
      </c>
      <c r="C1797">
        <f t="shared" si="32"/>
        <v>9.99296300547058</v>
      </c>
    </row>
    <row r="1798" spans="1:3" x14ac:dyDescent="0.3">
      <c r="A1798" s="1">
        <v>44662</v>
      </c>
      <c r="B1798">
        <v>21208.300781000002</v>
      </c>
      <c r="C1798">
        <f t="shared" si="32"/>
        <v>9.9621479302994498</v>
      </c>
    </row>
    <row r="1799" spans="1:3" x14ac:dyDescent="0.3">
      <c r="A1799" s="1">
        <v>44663</v>
      </c>
      <c r="B1799">
        <v>21319.130859000001</v>
      </c>
      <c r="C1799">
        <f t="shared" ref="C1799:C1862" si="33">LN(B1799)</f>
        <v>9.9673601109853909</v>
      </c>
    </row>
    <row r="1800" spans="1:3" x14ac:dyDescent="0.3">
      <c r="A1800" s="1">
        <v>44664</v>
      </c>
      <c r="B1800">
        <v>21374.369140999999</v>
      </c>
      <c r="C1800">
        <f t="shared" si="33"/>
        <v>9.9699477794980726</v>
      </c>
    </row>
    <row r="1801" spans="1:3" x14ac:dyDescent="0.3">
      <c r="A1801" s="1">
        <v>44665</v>
      </c>
      <c r="B1801">
        <v>21518.080077999999</v>
      </c>
      <c r="C1801">
        <f t="shared" si="33"/>
        <v>9.976648794589444</v>
      </c>
    </row>
    <row r="1802" spans="1:3" x14ac:dyDescent="0.3">
      <c r="A1802" s="1">
        <v>44670</v>
      </c>
      <c r="B1802">
        <v>21027.759765999999</v>
      </c>
      <c r="C1802">
        <f t="shared" si="33"/>
        <v>9.9535987373924346</v>
      </c>
    </row>
    <row r="1803" spans="1:3" x14ac:dyDescent="0.3">
      <c r="A1803" s="1">
        <v>44671</v>
      </c>
      <c r="B1803">
        <v>20944.669922000001</v>
      </c>
      <c r="C1803">
        <f t="shared" si="33"/>
        <v>9.9496394739826677</v>
      </c>
    </row>
    <row r="1804" spans="1:3" x14ac:dyDescent="0.3">
      <c r="A1804" s="1">
        <v>44672</v>
      </c>
      <c r="B1804">
        <v>20682.220702999999</v>
      </c>
      <c r="C1804">
        <f t="shared" si="33"/>
        <v>9.9370297069480156</v>
      </c>
    </row>
    <row r="1805" spans="1:3" x14ac:dyDescent="0.3">
      <c r="A1805" s="1">
        <v>44673</v>
      </c>
      <c r="B1805">
        <v>20638.519531000002</v>
      </c>
      <c r="C1805">
        <f t="shared" si="33"/>
        <v>9.9349144888736873</v>
      </c>
    </row>
    <row r="1806" spans="1:3" x14ac:dyDescent="0.3">
      <c r="A1806" s="1">
        <v>44676</v>
      </c>
      <c r="B1806">
        <v>19869.339843999998</v>
      </c>
      <c r="C1806">
        <f t="shared" si="33"/>
        <v>9.8969331112395373</v>
      </c>
    </row>
    <row r="1807" spans="1:3" x14ac:dyDescent="0.3">
      <c r="A1807" s="1">
        <v>44677</v>
      </c>
      <c r="B1807">
        <v>19934.710938</v>
      </c>
      <c r="C1807">
        <f t="shared" si="33"/>
        <v>9.9002177594845922</v>
      </c>
    </row>
    <row r="1808" spans="1:3" x14ac:dyDescent="0.3">
      <c r="A1808" s="1">
        <v>44678</v>
      </c>
      <c r="B1808">
        <v>19946.359375</v>
      </c>
      <c r="C1808">
        <f t="shared" si="33"/>
        <v>9.900801918196473</v>
      </c>
    </row>
    <row r="1809" spans="1:3" x14ac:dyDescent="0.3">
      <c r="A1809" s="1">
        <v>44679</v>
      </c>
      <c r="B1809">
        <v>20276.169922000001</v>
      </c>
      <c r="C1809">
        <f t="shared" si="33"/>
        <v>9.9172015800069175</v>
      </c>
    </row>
    <row r="1810" spans="1:3" x14ac:dyDescent="0.3">
      <c r="A1810" s="1">
        <v>44680</v>
      </c>
      <c r="B1810">
        <v>21089.390625</v>
      </c>
      <c r="C1810">
        <f t="shared" si="33"/>
        <v>9.9565253790297756</v>
      </c>
    </row>
    <row r="1811" spans="1:3" x14ac:dyDescent="0.3">
      <c r="A1811" s="1">
        <v>44684</v>
      </c>
      <c r="B1811">
        <v>21101.890625</v>
      </c>
      <c r="C1811">
        <f t="shared" si="33"/>
        <v>9.95711791853061</v>
      </c>
    </row>
    <row r="1812" spans="1:3" x14ac:dyDescent="0.3">
      <c r="A1812" s="1">
        <v>44685</v>
      </c>
      <c r="B1812">
        <v>20869.519531000002</v>
      </c>
      <c r="C1812">
        <f t="shared" si="33"/>
        <v>9.9460449778129441</v>
      </c>
    </row>
    <row r="1813" spans="1:3" x14ac:dyDescent="0.3">
      <c r="A1813" s="1">
        <v>44686</v>
      </c>
      <c r="B1813">
        <v>20793.400390999999</v>
      </c>
      <c r="C1813">
        <f t="shared" si="33"/>
        <v>9.9423909264484074</v>
      </c>
    </row>
    <row r="1814" spans="1:3" x14ac:dyDescent="0.3">
      <c r="A1814" s="1">
        <v>44687</v>
      </c>
      <c r="B1814">
        <v>20001.960938</v>
      </c>
      <c r="C1814">
        <f t="shared" si="33"/>
        <v>9.9035855946298454</v>
      </c>
    </row>
    <row r="1815" spans="1:3" x14ac:dyDescent="0.3">
      <c r="A1815" s="1">
        <v>44691</v>
      </c>
      <c r="B1815">
        <v>19633.689452999999</v>
      </c>
      <c r="C1815">
        <f t="shared" si="33"/>
        <v>9.8850022193299871</v>
      </c>
    </row>
    <row r="1816" spans="1:3" x14ac:dyDescent="0.3">
      <c r="A1816" s="1">
        <v>44692</v>
      </c>
      <c r="B1816">
        <v>19824.570313</v>
      </c>
      <c r="C1816">
        <f t="shared" si="33"/>
        <v>9.8946773722706869</v>
      </c>
    </row>
    <row r="1817" spans="1:3" x14ac:dyDescent="0.3">
      <c r="A1817" s="1">
        <v>44693</v>
      </c>
      <c r="B1817">
        <v>19380.339843999998</v>
      </c>
      <c r="C1817">
        <f t="shared" si="33"/>
        <v>9.8720144211011203</v>
      </c>
    </row>
    <row r="1818" spans="1:3" x14ac:dyDescent="0.3">
      <c r="A1818" s="1">
        <v>44694</v>
      </c>
      <c r="B1818">
        <v>19898.769531000002</v>
      </c>
      <c r="C1818">
        <f t="shared" si="33"/>
        <v>9.8984131761878036</v>
      </c>
    </row>
    <row r="1819" spans="1:3" x14ac:dyDescent="0.3">
      <c r="A1819" s="1">
        <v>44697</v>
      </c>
      <c r="B1819">
        <v>19950.210938</v>
      </c>
      <c r="C1819">
        <f t="shared" si="33"/>
        <v>9.900994995595445</v>
      </c>
    </row>
    <row r="1820" spans="1:3" x14ac:dyDescent="0.3">
      <c r="A1820" s="1">
        <v>44698</v>
      </c>
      <c r="B1820">
        <v>20602.519531000002</v>
      </c>
      <c r="C1820">
        <f t="shared" si="33"/>
        <v>9.9331686546288385</v>
      </c>
    </row>
    <row r="1821" spans="1:3" x14ac:dyDescent="0.3">
      <c r="A1821" s="1">
        <v>44699</v>
      </c>
      <c r="B1821">
        <v>20644.279297000001</v>
      </c>
      <c r="C1821">
        <f t="shared" si="33"/>
        <v>9.935193528386554</v>
      </c>
    </row>
    <row r="1822" spans="1:3" x14ac:dyDescent="0.3">
      <c r="A1822" s="1">
        <v>44700</v>
      </c>
      <c r="B1822">
        <v>20120.679688</v>
      </c>
      <c r="C1822">
        <f t="shared" si="33"/>
        <v>9.9095034053528277</v>
      </c>
    </row>
    <row r="1823" spans="1:3" x14ac:dyDescent="0.3">
      <c r="A1823" s="1">
        <v>44701</v>
      </c>
      <c r="B1823">
        <v>20717.240234000001</v>
      </c>
      <c r="C1823">
        <f t="shared" si="33"/>
        <v>9.9387214941626301</v>
      </c>
    </row>
    <row r="1824" spans="1:3" x14ac:dyDescent="0.3">
      <c r="A1824" s="1">
        <v>44704</v>
      </c>
      <c r="B1824">
        <v>20470.060547000001</v>
      </c>
      <c r="C1824">
        <f t="shared" si="33"/>
        <v>9.9267186364917031</v>
      </c>
    </row>
    <row r="1825" spans="1:3" x14ac:dyDescent="0.3">
      <c r="A1825" s="1">
        <v>44705</v>
      </c>
      <c r="B1825">
        <v>20112.099609000001</v>
      </c>
      <c r="C1825">
        <f t="shared" si="33"/>
        <v>9.9090768835325616</v>
      </c>
    </row>
    <row r="1826" spans="1:3" x14ac:dyDescent="0.3">
      <c r="A1826" s="1">
        <v>44706</v>
      </c>
      <c r="B1826">
        <v>20171.269531000002</v>
      </c>
      <c r="C1826">
        <f t="shared" si="33"/>
        <v>9.9120145705143727</v>
      </c>
    </row>
    <row r="1827" spans="1:3" x14ac:dyDescent="0.3">
      <c r="A1827" s="1">
        <v>44707</v>
      </c>
      <c r="B1827">
        <v>20116.199218999998</v>
      </c>
      <c r="C1827">
        <f t="shared" si="33"/>
        <v>9.9092807007524595</v>
      </c>
    </row>
    <row r="1828" spans="1:3" x14ac:dyDescent="0.3">
      <c r="A1828" s="1">
        <v>44708</v>
      </c>
      <c r="B1828">
        <v>20697.359375</v>
      </c>
      <c r="C1828">
        <f t="shared" si="33"/>
        <v>9.9377614046910505</v>
      </c>
    </row>
    <row r="1829" spans="1:3" x14ac:dyDescent="0.3">
      <c r="A1829" s="1">
        <v>44711</v>
      </c>
      <c r="B1829">
        <v>21123.929688</v>
      </c>
      <c r="C1829">
        <f t="shared" si="33"/>
        <v>9.9581617852850215</v>
      </c>
    </row>
    <row r="1830" spans="1:3" x14ac:dyDescent="0.3">
      <c r="A1830" s="1">
        <v>44712</v>
      </c>
      <c r="B1830">
        <v>21415.199218999998</v>
      </c>
      <c r="C1830">
        <f t="shared" si="33"/>
        <v>9.9718561927846263</v>
      </c>
    </row>
    <row r="1831" spans="1:3" x14ac:dyDescent="0.3">
      <c r="A1831" s="1">
        <v>44713</v>
      </c>
      <c r="B1831">
        <v>21294.939452999999</v>
      </c>
      <c r="C1831">
        <f t="shared" si="33"/>
        <v>9.9662247391036818</v>
      </c>
    </row>
    <row r="1832" spans="1:3" x14ac:dyDescent="0.3">
      <c r="A1832" s="1">
        <v>44714</v>
      </c>
      <c r="B1832">
        <v>21082.130859000001</v>
      </c>
      <c r="C1832">
        <f t="shared" si="33"/>
        <v>9.9561810819394054</v>
      </c>
    </row>
    <row r="1833" spans="1:3" x14ac:dyDescent="0.3">
      <c r="A1833" s="1">
        <v>44718</v>
      </c>
      <c r="B1833">
        <v>21653.900390999999</v>
      </c>
      <c r="C1833">
        <f t="shared" si="33"/>
        <v>9.982940873832554</v>
      </c>
    </row>
    <row r="1834" spans="1:3" x14ac:dyDescent="0.3">
      <c r="A1834" s="1">
        <v>44719</v>
      </c>
      <c r="B1834">
        <v>21531.669922000001</v>
      </c>
      <c r="C1834">
        <f t="shared" si="33"/>
        <v>9.9772801499144528</v>
      </c>
    </row>
    <row r="1835" spans="1:3" x14ac:dyDescent="0.3">
      <c r="A1835" s="1">
        <v>44720</v>
      </c>
      <c r="B1835">
        <v>22014.589843999998</v>
      </c>
      <c r="C1835">
        <f t="shared" si="33"/>
        <v>9.9994606872645395</v>
      </c>
    </row>
    <row r="1836" spans="1:3" x14ac:dyDescent="0.3">
      <c r="A1836" s="1">
        <v>44721</v>
      </c>
      <c r="B1836">
        <v>21869.050781000002</v>
      </c>
      <c r="C1836">
        <f t="shared" si="33"/>
        <v>9.992827709939677</v>
      </c>
    </row>
    <row r="1837" spans="1:3" x14ac:dyDescent="0.3">
      <c r="A1837" s="1">
        <v>44722</v>
      </c>
      <c r="B1837">
        <v>21806.179688</v>
      </c>
      <c r="C1837">
        <f t="shared" si="33"/>
        <v>9.9899486805332103</v>
      </c>
    </row>
    <row r="1838" spans="1:3" x14ac:dyDescent="0.3">
      <c r="A1838" s="1">
        <v>44725</v>
      </c>
      <c r="B1838">
        <v>21067.580077999999</v>
      </c>
      <c r="C1838">
        <f t="shared" si="33"/>
        <v>9.9554906486598131</v>
      </c>
    </row>
    <row r="1839" spans="1:3" x14ac:dyDescent="0.3">
      <c r="A1839" s="1">
        <v>44726</v>
      </c>
      <c r="B1839">
        <v>21067.990234000001</v>
      </c>
      <c r="C1839">
        <f t="shared" si="33"/>
        <v>9.9555101170565621</v>
      </c>
    </row>
    <row r="1840" spans="1:3" x14ac:dyDescent="0.3">
      <c r="A1840" s="1">
        <v>44727</v>
      </c>
      <c r="B1840">
        <v>21308.210938</v>
      </c>
      <c r="C1840">
        <f t="shared" si="33"/>
        <v>9.9668477674622658</v>
      </c>
    </row>
    <row r="1841" spans="1:3" x14ac:dyDescent="0.3">
      <c r="A1841" s="1">
        <v>44728</v>
      </c>
      <c r="B1841">
        <v>20845.429688</v>
      </c>
      <c r="C1841">
        <f t="shared" si="33"/>
        <v>9.9448900035828931</v>
      </c>
    </row>
    <row r="1842" spans="1:3" x14ac:dyDescent="0.3">
      <c r="A1842" s="1">
        <v>44729</v>
      </c>
      <c r="B1842">
        <v>21075</v>
      </c>
      <c r="C1842">
        <f t="shared" si="33"/>
        <v>9.9558427828700555</v>
      </c>
    </row>
    <row r="1843" spans="1:3" x14ac:dyDescent="0.3">
      <c r="A1843" s="1">
        <v>44732</v>
      </c>
      <c r="B1843">
        <v>21163.910156000002</v>
      </c>
      <c r="C1843">
        <f t="shared" si="33"/>
        <v>9.9600526588817662</v>
      </c>
    </row>
    <row r="1844" spans="1:3" x14ac:dyDescent="0.3">
      <c r="A1844" s="1">
        <v>44733</v>
      </c>
      <c r="B1844">
        <v>21559.589843999998</v>
      </c>
      <c r="C1844">
        <f t="shared" si="33"/>
        <v>9.9785760009087667</v>
      </c>
    </row>
    <row r="1845" spans="1:3" x14ac:dyDescent="0.3">
      <c r="A1845" s="1">
        <v>44734</v>
      </c>
      <c r="B1845">
        <v>21008.339843999998</v>
      </c>
      <c r="C1845">
        <f t="shared" si="33"/>
        <v>9.9526747732967298</v>
      </c>
    </row>
    <row r="1846" spans="1:3" x14ac:dyDescent="0.3">
      <c r="A1846" s="1">
        <v>44735</v>
      </c>
      <c r="B1846">
        <v>21273.869140999999</v>
      </c>
      <c r="C1846">
        <f t="shared" si="33"/>
        <v>9.9652347976692557</v>
      </c>
    </row>
    <row r="1847" spans="1:3" x14ac:dyDescent="0.3">
      <c r="A1847" s="1">
        <v>44736</v>
      </c>
      <c r="B1847">
        <v>21719.060547000001</v>
      </c>
      <c r="C1847">
        <f t="shared" si="33"/>
        <v>9.9859455202118852</v>
      </c>
    </row>
    <row r="1848" spans="1:3" x14ac:dyDescent="0.3">
      <c r="A1848" s="1">
        <v>44739</v>
      </c>
      <c r="B1848">
        <v>22229.519531000002</v>
      </c>
      <c r="C1848">
        <f t="shared" si="33"/>
        <v>10.009176393184406</v>
      </c>
    </row>
    <row r="1849" spans="1:3" x14ac:dyDescent="0.3">
      <c r="A1849" s="1">
        <v>44740</v>
      </c>
      <c r="B1849">
        <v>22418.970702999999</v>
      </c>
      <c r="C1849">
        <f t="shared" si="33"/>
        <v>10.017662785804202</v>
      </c>
    </row>
    <row r="1850" spans="1:3" x14ac:dyDescent="0.3">
      <c r="A1850" s="1">
        <v>44741</v>
      </c>
      <c r="B1850">
        <v>21996.890625</v>
      </c>
      <c r="C1850">
        <f t="shared" si="33"/>
        <v>9.9986563871244165</v>
      </c>
    </row>
    <row r="1851" spans="1:3" x14ac:dyDescent="0.3">
      <c r="A1851" s="1">
        <v>44742</v>
      </c>
      <c r="B1851">
        <v>21859.789063</v>
      </c>
      <c r="C1851">
        <f t="shared" si="33"/>
        <v>9.9924041122329204</v>
      </c>
    </row>
    <row r="1852" spans="1:3" x14ac:dyDescent="0.3">
      <c r="A1852" s="1">
        <v>44746</v>
      </c>
      <c r="B1852">
        <v>21830.349609000001</v>
      </c>
      <c r="C1852">
        <f t="shared" si="33"/>
        <v>9.9910564644867534</v>
      </c>
    </row>
    <row r="1853" spans="1:3" x14ac:dyDescent="0.3">
      <c r="A1853" s="1">
        <v>44747</v>
      </c>
      <c r="B1853">
        <v>21853.070313</v>
      </c>
      <c r="C1853">
        <f t="shared" si="33"/>
        <v>9.9920967084094787</v>
      </c>
    </row>
    <row r="1854" spans="1:3" x14ac:dyDescent="0.3">
      <c r="A1854" s="1">
        <v>44748</v>
      </c>
      <c r="B1854">
        <v>21586.660156000002</v>
      </c>
      <c r="C1854">
        <f t="shared" si="33"/>
        <v>9.9798308175174864</v>
      </c>
    </row>
    <row r="1855" spans="1:3" x14ac:dyDescent="0.3">
      <c r="A1855" s="1">
        <v>44749</v>
      </c>
      <c r="B1855">
        <v>21643.580077999999</v>
      </c>
      <c r="C1855">
        <f t="shared" si="33"/>
        <v>9.9824641572622763</v>
      </c>
    </row>
    <row r="1856" spans="1:3" x14ac:dyDescent="0.3">
      <c r="A1856" s="1">
        <v>44750</v>
      </c>
      <c r="B1856">
        <v>21725.779297000001</v>
      </c>
      <c r="C1856">
        <f t="shared" si="33"/>
        <v>9.9862548204683801</v>
      </c>
    </row>
    <row r="1857" spans="1:3" x14ac:dyDescent="0.3">
      <c r="A1857" s="1">
        <v>44753</v>
      </c>
      <c r="B1857">
        <v>21124.199218999998</v>
      </c>
      <c r="C1857">
        <f t="shared" si="33"/>
        <v>9.9581745447139944</v>
      </c>
    </row>
    <row r="1858" spans="1:3" x14ac:dyDescent="0.3">
      <c r="A1858" s="1">
        <v>44754</v>
      </c>
      <c r="B1858">
        <v>20844.740234000001</v>
      </c>
      <c r="C1858">
        <f t="shared" si="33"/>
        <v>9.9448569284478499</v>
      </c>
    </row>
    <row r="1859" spans="1:3" x14ac:dyDescent="0.3">
      <c r="A1859" s="1">
        <v>44755</v>
      </c>
      <c r="B1859">
        <v>20797.949218999998</v>
      </c>
      <c r="C1859">
        <f t="shared" si="33"/>
        <v>9.9426096655881953</v>
      </c>
    </row>
    <row r="1860" spans="1:3" x14ac:dyDescent="0.3">
      <c r="A1860" s="1">
        <v>44756</v>
      </c>
      <c r="B1860">
        <v>20751.210938</v>
      </c>
      <c r="C1860">
        <f t="shared" si="33"/>
        <v>9.9403598824138868</v>
      </c>
    </row>
    <row r="1861" spans="1:3" x14ac:dyDescent="0.3">
      <c r="A1861" s="1">
        <v>44757</v>
      </c>
      <c r="B1861">
        <v>20297.720702999999</v>
      </c>
      <c r="C1861">
        <f t="shared" si="33"/>
        <v>9.9182638780855417</v>
      </c>
    </row>
    <row r="1862" spans="1:3" x14ac:dyDescent="0.3">
      <c r="A1862" s="1">
        <v>44760</v>
      </c>
      <c r="B1862">
        <v>20846.179688</v>
      </c>
      <c r="C1862">
        <f t="shared" si="33"/>
        <v>9.9449259820452891</v>
      </c>
    </row>
    <row r="1863" spans="1:3" x14ac:dyDescent="0.3">
      <c r="A1863" s="1">
        <v>44761</v>
      </c>
      <c r="B1863">
        <v>20661.060547000001</v>
      </c>
      <c r="C1863">
        <f t="shared" ref="C1863:C1926" si="34">LN(B1863)</f>
        <v>9.9360060747055865</v>
      </c>
    </row>
    <row r="1864" spans="1:3" x14ac:dyDescent="0.3">
      <c r="A1864" s="1">
        <v>44762</v>
      </c>
      <c r="B1864">
        <v>20890.220702999999</v>
      </c>
      <c r="C1864">
        <f t="shared" si="34"/>
        <v>9.9470364195019823</v>
      </c>
    </row>
    <row r="1865" spans="1:3" x14ac:dyDescent="0.3">
      <c r="A1865" s="1">
        <v>44763</v>
      </c>
      <c r="B1865">
        <v>20574.630859000001</v>
      </c>
      <c r="C1865">
        <f t="shared" si="34"/>
        <v>9.9318140841449569</v>
      </c>
    </row>
    <row r="1866" spans="1:3" x14ac:dyDescent="0.3">
      <c r="A1866" s="1">
        <v>44764</v>
      </c>
      <c r="B1866">
        <v>20609.140625</v>
      </c>
      <c r="C1866">
        <f t="shared" si="34"/>
        <v>9.9334899760234094</v>
      </c>
    </row>
    <row r="1867" spans="1:3" x14ac:dyDescent="0.3">
      <c r="A1867" s="1">
        <v>44767</v>
      </c>
      <c r="B1867">
        <v>20562.939452999999</v>
      </c>
      <c r="C1867">
        <f t="shared" si="34"/>
        <v>9.931245678853827</v>
      </c>
    </row>
    <row r="1868" spans="1:3" x14ac:dyDescent="0.3">
      <c r="A1868" s="1">
        <v>44768</v>
      </c>
      <c r="B1868">
        <v>20905.880859000001</v>
      </c>
      <c r="C1868">
        <f t="shared" si="34"/>
        <v>9.9477857791861428</v>
      </c>
    </row>
    <row r="1869" spans="1:3" x14ac:dyDescent="0.3">
      <c r="A1869" s="1">
        <v>44769</v>
      </c>
      <c r="B1869">
        <v>20670.039063</v>
      </c>
      <c r="C1869">
        <f t="shared" si="34"/>
        <v>9.9364405425143758</v>
      </c>
    </row>
    <row r="1870" spans="1:3" x14ac:dyDescent="0.3">
      <c r="A1870" s="1">
        <v>44770</v>
      </c>
      <c r="B1870">
        <v>20622.679688</v>
      </c>
      <c r="C1870">
        <f t="shared" si="34"/>
        <v>9.9341467048985272</v>
      </c>
    </row>
    <row r="1871" spans="1:3" x14ac:dyDescent="0.3">
      <c r="A1871" s="1">
        <v>44771</v>
      </c>
      <c r="B1871">
        <v>20156.509765999999</v>
      </c>
      <c r="C1871">
        <f t="shared" si="34"/>
        <v>9.9112825805106421</v>
      </c>
    </row>
    <row r="1872" spans="1:3" x14ac:dyDescent="0.3">
      <c r="A1872" s="1">
        <v>44774</v>
      </c>
      <c r="B1872">
        <v>20165.839843999998</v>
      </c>
      <c r="C1872">
        <f t="shared" si="34"/>
        <v>9.9117453550392476</v>
      </c>
    </row>
    <row r="1873" spans="1:3" x14ac:dyDescent="0.3">
      <c r="A1873" s="1">
        <v>44775</v>
      </c>
      <c r="B1873">
        <v>19689.210938</v>
      </c>
      <c r="C1873">
        <f t="shared" si="34"/>
        <v>9.887826096579289</v>
      </c>
    </row>
    <row r="1874" spans="1:3" x14ac:dyDescent="0.3">
      <c r="A1874" s="1">
        <v>44776</v>
      </c>
      <c r="B1874">
        <v>19767.089843999998</v>
      </c>
      <c r="C1874">
        <f t="shared" si="34"/>
        <v>9.8917737047226098</v>
      </c>
    </row>
    <row r="1875" spans="1:3" x14ac:dyDescent="0.3">
      <c r="A1875" s="1">
        <v>44777</v>
      </c>
      <c r="B1875">
        <v>20174.039063</v>
      </c>
      <c r="C1875">
        <f t="shared" si="34"/>
        <v>9.9121518619170601</v>
      </c>
    </row>
    <row r="1876" spans="1:3" x14ac:dyDescent="0.3">
      <c r="A1876" s="1">
        <v>44778</v>
      </c>
      <c r="B1876">
        <v>20201.939452999999</v>
      </c>
      <c r="C1876">
        <f t="shared" si="34"/>
        <v>9.913533891305141</v>
      </c>
    </row>
    <row r="1877" spans="1:3" x14ac:dyDescent="0.3">
      <c r="A1877" s="1">
        <v>44781</v>
      </c>
      <c r="B1877">
        <v>20045.769531000002</v>
      </c>
      <c r="C1877">
        <f t="shared" si="34"/>
        <v>9.9057734145118364</v>
      </c>
    </row>
    <row r="1878" spans="1:3" x14ac:dyDescent="0.3">
      <c r="A1878" s="1">
        <v>44782</v>
      </c>
      <c r="B1878">
        <v>20003.439452999999</v>
      </c>
      <c r="C1878">
        <f t="shared" si="34"/>
        <v>9.9036595104005265</v>
      </c>
    </row>
    <row r="1879" spans="1:3" x14ac:dyDescent="0.3">
      <c r="A1879" s="1">
        <v>44783</v>
      </c>
      <c r="B1879">
        <v>19610.839843999998</v>
      </c>
      <c r="C1879">
        <f t="shared" si="34"/>
        <v>9.8838377456063213</v>
      </c>
    </row>
    <row r="1880" spans="1:3" x14ac:dyDescent="0.3">
      <c r="A1880" s="1">
        <v>44784</v>
      </c>
      <c r="B1880">
        <v>20082.429688</v>
      </c>
      <c r="C1880">
        <f t="shared" si="34"/>
        <v>9.9076005668841134</v>
      </c>
    </row>
    <row r="1881" spans="1:3" x14ac:dyDescent="0.3">
      <c r="A1881" s="1">
        <v>44785</v>
      </c>
      <c r="B1881">
        <v>20175.619140999999</v>
      </c>
      <c r="C1881">
        <f t="shared" si="34"/>
        <v>9.912230181192669</v>
      </c>
    </row>
    <row r="1882" spans="1:3" x14ac:dyDescent="0.3">
      <c r="A1882" s="1">
        <v>44788</v>
      </c>
      <c r="B1882">
        <v>20040.859375</v>
      </c>
      <c r="C1882">
        <f t="shared" si="34"/>
        <v>9.9055284372633849</v>
      </c>
    </row>
    <row r="1883" spans="1:3" x14ac:dyDescent="0.3">
      <c r="A1883" s="1">
        <v>44789</v>
      </c>
      <c r="B1883">
        <v>19830.519531000002</v>
      </c>
      <c r="C1883">
        <f t="shared" si="34"/>
        <v>9.894977420414218</v>
      </c>
    </row>
    <row r="1884" spans="1:3" x14ac:dyDescent="0.3">
      <c r="A1884" s="1">
        <v>44790</v>
      </c>
      <c r="B1884">
        <v>19922.449218999998</v>
      </c>
      <c r="C1884">
        <f t="shared" si="34"/>
        <v>9.8996024763415615</v>
      </c>
    </row>
    <row r="1885" spans="1:3" x14ac:dyDescent="0.3">
      <c r="A1885" s="1">
        <v>44791</v>
      </c>
      <c r="B1885">
        <v>19763.910156000002</v>
      </c>
      <c r="C1885">
        <f t="shared" si="34"/>
        <v>9.891612834114385</v>
      </c>
    </row>
    <row r="1886" spans="1:3" x14ac:dyDescent="0.3">
      <c r="A1886" s="1">
        <v>44792</v>
      </c>
      <c r="B1886">
        <v>19773.029297000001</v>
      </c>
      <c r="C1886">
        <f t="shared" si="34"/>
        <v>9.8920741313866518</v>
      </c>
    </row>
    <row r="1887" spans="1:3" x14ac:dyDescent="0.3">
      <c r="A1887" s="1">
        <v>44795</v>
      </c>
      <c r="B1887">
        <v>19656.980468999998</v>
      </c>
      <c r="C1887">
        <f t="shared" si="34"/>
        <v>9.8861877943672347</v>
      </c>
    </row>
    <row r="1888" spans="1:3" x14ac:dyDescent="0.3">
      <c r="A1888" s="1">
        <v>44796</v>
      </c>
      <c r="B1888">
        <v>19503.25</v>
      </c>
      <c r="C1888">
        <f t="shared" si="34"/>
        <v>9.8783363973311591</v>
      </c>
    </row>
    <row r="1889" spans="1:3" x14ac:dyDescent="0.3">
      <c r="A1889" s="1">
        <v>44797</v>
      </c>
      <c r="B1889">
        <v>19268.740234000001</v>
      </c>
      <c r="C1889">
        <f t="shared" si="34"/>
        <v>9.8662393848033236</v>
      </c>
    </row>
    <row r="1890" spans="1:3" x14ac:dyDescent="0.3">
      <c r="A1890" s="1">
        <v>44798</v>
      </c>
      <c r="B1890">
        <v>19968.380859000001</v>
      </c>
      <c r="C1890">
        <f t="shared" si="34"/>
        <v>9.9019053444548053</v>
      </c>
    </row>
    <row r="1891" spans="1:3" x14ac:dyDescent="0.3">
      <c r="A1891" s="1">
        <v>44799</v>
      </c>
      <c r="B1891">
        <v>20170.039063</v>
      </c>
      <c r="C1891">
        <f t="shared" si="34"/>
        <v>9.9119535676345336</v>
      </c>
    </row>
    <row r="1892" spans="1:3" x14ac:dyDescent="0.3">
      <c r="A1892" s="1">
        <v>44802</v>
      </c>
      <c r="B1892">
        <v>20023.220702999999</v>
      </c>
      <c r="C1892">
        <f t="shared" si="34"/>
        <v>9.9046479142060573</v>
      </c>
    </row>
    <row r="1893" spans="1:3" x14ac:dyDescent="0.3">
      <c r="A1893" s="1">
        <v>44803</v>
      </c>
      <c r="B1893">
        <v>19949.029297000001</v>
      </c>
      <c r="C1893">
        <f t="shared" si="34"/>
        <v>9.9009357643422486</v>
      </c>
    </row>
    <row r="1894" spans="1:3" x14ac:dyDescent="0.3">
      <c r="A1894" s="1">
        <v>44804</v>
      </c>
      <c r="B1894">
        <v>19954.390625</v>
      </c>
      <c r="C1894">
        <f t="shared" si="34"/>
        <v>9.9012044795572738</v>
      </c>
    </row>
    <row r="1895" spans="1:3" x14ac:dyDescent="0.3">
      <c r="A1895" s="1">
        <v>44805</v>
      </c>
      <c r="B1895">
        <v>19597.310547000001</v>
      </c>
      <c r="C1895">
        <f t="shared" si="34"/>
        <v>9.8831476188137</v>
      </c>
    </row>
    <row r="1896" spans="1:3" x14ac:dyDescent="0.3">
      <c r="A1896" s="1">
        <v>44806</v>
      </c>
      <c r="B1896">
        <v>19452.089843999998</v>
      </c>
      <c r="C1896">
        <f t="shared" si="34"/>
        <v>9.8757097902668658</v>
      </c>
    </row>
    <row r="1897" spans="1:3" x14ac:dyDescent="0.3">
      <c r="A1897" s="1">
        <v>44809</v>
      </c>
      <c r="B1897">
        <v>19225.699218999998</v>
      </c>
      <c r="C1897">
        <f t="shared" si="34"/>
        <v>9.8640031640115513</v>
      </c>
    </row>
    <row r="1898" spans="1:3" x14ac:dyDescent="0.3">
      <c r="A1898" s="1">
        <v>44810</v>
      </c>
      <c r="B1898">
        <v>19202.730468999998</v>
      </c>
      <c r="C1898">
        <f t="shared" si="34"/>
        <v>9.8628077598317994</v>
      </c>
    </row>
    <row r="1899" spans="1:3" x14ac:dyDescent="0.3">
      <c r="A1899" s="1">
        <v>44811</v>
      </c>
      <c r="B1899">
        <v>19044.300781000002</v>
      </c>
      <c r="C1899">
        <f t="shared" si="34"/>
        <v>9.8545231641930453</v>
      </c>
    </row>
    <row r="1900" spans="1:3" x14ac:dyDescent="0.3">
      <c r="A1900" s="1">
        <v>44812</v>
      </c>
      <c r="B1900">
        <v>18854.619140999999</v>
      </c>
      <c r="C1900">
        <f t="shared" si="34"/>
        <v>9.8445132101248838</v>
      </c>
    </row>
    <row r="1901" spans="1:3" x14ac:dyDescent="0.3">
      <c r="A1901" s="1">
        <v>44813</v>
      </c>
      <c r="B1901">
        <v>19362.25</v>
      </c>
      <c r="C1901">
        <f t="shared" si="34"/>
        <v>9.8710805730859263</v>
      </c>
    </row>
    <row r="1902" spans="1:3" x14ac:dyDescent="0.3">
      <c r="A1902" s="1">
        <v>44817</v>
      </c>
      <c r="B1902">
        <v>19326.859375</v>
      </c>
      <c r="C1902">
        <f t="shared" si="34"/>
        <v>9.8692510848685533</v>
      </c>
    </row>
    <row r="1903" spans="1:3" x14ac:dyDescent="0.3">
      <c r="A1903" s="1">
        <v>44818</v>
      </c>
      <c r="B1903">
        <v>18847.099609000001</v>
      </c>
      <c r="C1903">
        <f t="shared" si="34"/>
        <v>9.8441143141408798</v>
      </c>
    </row>
    <row r="1904" spans="1:3" x14ac:dyDescent="0.3">
      <c r="A1904" s="1">
        <v>44819</v>
      </c>
      <c r="B1904">
        <v>18930.380859000001</v>
      </c>
      <c r="C1904">
        <f t="shared" si="34"/>
        <v>9.8485233633353673</v>
      </c>
    </row>
    <row r="1905" spans="1:3" x14ac:dyDescent="0.3">
      <c r="A1905" s="1">
        <v>44820</v>
      </c>
      <c r="B1905">
        <v>18761.689452999999</v>
      </c>
      <c r="C1905">
        <f t="shared" si="34"/>
        <v>9.8395722746354704</v>
      </c>
    </row>
    <row r="1906" spans="1:3" x14ac:dyDescent="0.3">
      <c r="A1906" s="1">
        <v>44823</v>
      </c>
      <c r="B1906">
        <v>18565.970702999999</v>
      </c>
      <c r="C1906">
        <f t="shared" si="34"/>
        <v>9.8290856519666043</v>
      </c>
    </row>
    <row r="1907" spans="1:3" x14ac:dyDescent="0.3">
      <c r="A1907" s="1">
        <v>44824</v>
      </c>
      <c r="B1907">
        <v>18781.419922000001</v>
      </c>
      <c r="C1907">
        <f t="shared" si="34"/>
        <v>9.8406233581043114</v>
      </c>
    </row>
    <row r="1908" spans="1:3" x14ac:dyDescent="0.3">
      <c r="A1908" s="1">
        <v>44825</v>
      </c>
      <c r="B1908">
        <v>18444.619140999999</v>
      </c>
      <c r="C1908">
        <f t="shared" si="34"/>
        <v>9.822527961457606</v>
      </c>
    </row>
    <row r="1909" spans="1:3" x14ac:dyDescent="0.3">
      <c r="A1909" s="1">
        <v>44826</v>
      </c>
      <c r="B1909">
        <v>18147.949218999998</v>
      </c>
      <c r="C1909">
        <f t="shared" si="34"/>
        <v>9.806312842620363</v>
      </c>
    </row>
    <row r="1910" spans="1:3" x14ac:dyDescent="0.3">
      <c r="A1910" s="1">
        <v>44827</v>
      </c>
      <c r="B1910">
        <v>17933.269531000002</v>
      </c>
      <c r="C1910">
        <f t="shared" si="34"/>
        <v>9.7944128997245077</v>
      </c>
    </row>
    <row r="1911" spans="1:3" x14ac:dyDescent="0.3">
      <c r="A1911" s="1">
        <v>44830</v>
      </c>
      <c r="B1911">
        <v>17855.140625</v>
      </c>
      <c r="C1911">
        <f t="shared" si="34"/>
        <v>9.7900467359426475</v>
      </c>
    </row>
    <row r="1912" spans="1:3" x14ac:dyDescent="0.3">
      <c r="A1912" s="1">
        <v>44831</v>
      </c>
      <c r="B1912">
        <v>17860.310547000001</v>
      </c>
      <c r="C1912">
        <f t="shared" si="34"/>
        <v>9.7903362421292677</v>
      </c>
    </row>
    <row r="1913" spans="1:3" x14ac:dyDescent="0.3">
      <c r="A1913" s="1">
        <v>44832</v>
      </c>
      <c r="B1913">
        <v>17250.880859000001</v>
      </c>
      <c r="C1913">
        <f t="shared" si="34"/>
        <v>9.7556184854456252</v>
      </c>
    </row>
    <row r="1914" spans="1:3" x14ac:dyDescent="0.3">
      <c r="A1914" s="1">
        <v>44833</v>
      </c>
      <c r="B1914">
        <v>17165.869140999999</v>
      </c>
      <c r="C1914">
        <f t="shared" si="34"/>
        <v>9.7506783390986946</v>
      </c>
    </row>
    <row r="1915" spans="1:3" x14ac:dyDescent="0.3">
      <c r="A1915" s="1">
        <v>44834</v>
      </c>
      <c r="B1915">
        <v>17222.830077999999</v>
      </c>
      <c r="C1915">
        <f t="shared" si="34"/>
        <v>9.7539911127939281</v>
      </c>
    </row>
    <row r="1916" spans="1:3" x14ac:dyDescent="0.3">
      <c r="A1916" s="1">
        <v>44837</v>
      </c>
      <c r="B1916">
        <v>17079.509765999999</v>
      </c>
      <c r="C1916">
        <f t="shared" si="34"/>
        <v>9.7456347647058195</v>
      </c>
    </row>
    <row r="1917" spans="1:3" x14ac:dyDescent="0.3">
      <c r="A1917" s="1">
        <v>44839</v>
      </c>
      <c r="B1917">
        <v>18087.970702999999</v>
      </c>
      <c r="C1917">
        <f t="shared" si="34"/>
        <v>9.8030023942638795</v>
      </c>
    </row>
    <row r="1918" spans="1:3" x14ac:dyDescent="0.3">
      <c r="A1918" s="1">
        <v>44840</v>
      </c>
      <c r="B1918">
        <v>18012.150390999999</v>
      </c>
      <c r="C1918">
        <f t="shared" si="34"/>
        <v>9.7988018308758349</v>
      </c>
    </row>
    <row r="1919" spans="1:3" x14ac:dyDescent="0.3">
      <c r="A1919" s="1">
        <v>44841</v>
      </c>
      <c r="B1919">
        <v>17740.050781000002</v>
      </c>
      <c r="C1919">
        <f t="shared" si="34"/>
        <v>9.7835801183735658</v>
      </c>
    </row>
    <row r="1920" spans="1:3" x14ac:dyDescent="0.3">
      <c r="A1920" s="1">
        <v>44844</v>
      </c>
      <c r="B1920">
        <v>17216.660156000002</v>
      </c>
      <c r="C1920">
        <f t="shared" si="34"/>
        <v>9.7536328077189065</v>
      </c>
    </row>
    <row r="1921" spans="1:3" x14ac:dyDescent="0.3">
      <c r="A1921" s="1">
        <v>44845</v>
      </c>
      <c r="B1921">
        <v>16832.359375</v>
      </c>
      <c r="C1921">
        <f t="shared" si="34"/>
        <v>9.731058466010559</v>
      </c>
    </row>
    <row r="1922" spans="1:3" x14ac:dyDescent="0.3">
      <c r="A1922" s="1">
        <v>44846</v>
      </c>
      <c r="B1922">
        <v>16701.029297000001</v>
      </c>
      <c r="C1922">
        <f t="shared" si="34"/>
        <v>9.7232256310564136</v>
      </c>
    </row>
    <row r="1923" spans="1:3" x14ac:dyDescent="0.3">
      <c r="A1923" s="1">
        <v>44847</v>
      </c>
      <c r="B1923">
        <v>16389.109375</v>
      </c>
      <c r="C1923">
        <f t="shared" si="34"/>
        <v>9.7043723307251266</v>
      </c>
    </row>
    <row r="1924" spans="1:3" x14ac:dyDescent="0.3">
      <c r="A1924" s="1">
        <v>44848</v>
      </c>
      <c r="B1924">
        <v>16587.689452999999</v>
      </c>
      <c r="C1924">
        <f t="shared" si="34"/>
        <v>9.7164161000070397</v>
      </c>
    </row>
    <row r="1925" spans="1:3" x14ac:dyDescent="0.3">
      <c r="A1925" s="1">
        <v>44851</v>
      </c>
      <c r="B1925">
        <v>16612.900390999999</v>
      </c>
      <c r="C1925">
        <f t="shared" si="34"/>
        <v>9.7179348045218781</v>
      </c>
    </row>
    <row r="1926" spans="1:3" x14ac:dyDescent="0.3">
      <c r="A1926" s="1">
        <v>44852</v>
      </c>
      <c r="B1926">
        <v>16914.580077999999</v>
      </c>
      <c r="C1926">
        <f t="shared" si="34"/>
        <v>9.7359312554854291</v>
      </c>
    </row>
    <row r="1927" spans="1:3" x14ac:dyDescent="0.3">
      <c r="A1927" s="1">
        <v>44853</v>
      </c>
      <c r="B1927">
        <v>16511.279297000001</v>
      </c>
      <c r="C1927">
        <f t="shared" ref="C1927:C1990" si="35">LN(B1927)</f>
        <v>9.7117990201024611</v>
      </c>
    </row>
    <row r="1928" spans="1:3" x14ac:dyDescent="0.3">
      <c r="A1928" s="1">
        <v>44854</v>
      </c>
      <c r="B1928">
        <v>16280.219727</v>
      </c>
      <c r="C1928">
        <f t="shared" si="35"/>
        <v>9.6977061362099235</v>
      </c>
    </row>
    <row r="1929" spans="1:3" x14ac:dyDescent="0.3">
      <c r="A1929" s="1">
        <v>44855</v>
      </c>
      <c r="B1929">
        <v>16211.120117</v>
      </c>
      <c r="C1929">
        <f t="shared" si="35"/>
        <v>9.6934527127125438</v>
      </c>
    </row>
    <row r="1930" spans="1:3" x14ac:dyDescent="0.3">
      <c r="A1930" s="1">
        <v>44858</v>
      </c>
      <c r="B1930">
        <v>15180.690430000001</v>
      </c>
      <c r="C1930">
        <f t="shared" si="35"/>
        <v>9.6277795327875069</v>
      </c>
    </row>
    <row r="1931" spans="1:3" x14ac:dyDescent="0.3">
      <c r="A1931" s="1">
        <v>44859</v>
      </c>
      <c r="B1931">
        <v>15165.589844</v>
      </c>
      <c r="C1931">
        <f t="shared" si="35"/>
        <v>9.6267843144536602</v>
      </c>
    </row>
    <row r="1932" spans="1:3" x14ac:dyDescent="0.3">
      <c r="A1932" s="1">
        <v>44860</v>
      </c>
      <c r="B1932">
        <v>15317.669921999999</v>
      </c>
      <c r="C1932">
        <f t="shared" si="35"/>
        <v>9.6367623378629084</v>
      </c>
    </row>
    <row r="1933" spans="1:3" x14ac:dyDescent="0.3">
      <c r="A1933" s="1">
        <v>44861</v>
      </c>
      <c r="B1933">
        <v>15427.940430000001</v>
      </c>
      <c r="C1933">
        <f t="shared" si="35"/>
        <v>9.6439354581591399</v>
      </c>
    </row>
    <row r="1934" spans="1:3" x14ac:dyDescent="0.3">
      <c r="A1934" s="1">
        <v>44862</v>
      </c>
      <c r="B1934">
        <v>14863.059569999999</v>
      </c>
      <c r="C1934">
        <f t="shared" si="35"/>
        <v>9.6066341900800403</v>
      </c>
    </row>
    <row r="1935" spans="1:3" x14ac:dyDescent="0.3">
      <c r="A1935" s="1">
        <v>44865</v>
      </c>
      <c r="B1935">
        <v>14687.019531</v>
      </c>
      <c r="C1935">
        <f t="shared" si="35"/>
        <v>9.5947193575684615</v>
      </c>
    </row>
    <row r="1936" spans="1:3" x14ac:dyDescent="0.3">
      <c r="A1936" s="1">
        <v>44866</v>
      </c>
      <c r="B1936">
        <v>15455.269531</v>
      </c>
      <c r="C1936">
        <f t="shared" si="35"/>
        <v>9.64570529414239</v>
      </c>
    </row>
    <row r="1937" spans="1:3" x14ac:dyDescent="0.3">
      <c r="A1937" s="1">
        <v>44867</v>
      </c>
      <c r="B1937">
        <v>15827.169921999999</v>
      </c>
      <c r="C1937">
        <f t="shared" si="35"/>
        <v>9.6694833574859231</v>
      </c>
    </row>
    <row r="1938" spans="1:3" x14ac:dyDescent="0.3">
      <c r="A1938" s="1">
        <v>44868</v>
      </c>
      <c r="B1938">
        <v>15339.490234000001</v>
      </c>
      <c r="C1938">
        <f t="shared" si="35"/>
        <v>9.6381858432087153</v>
      </c>
    </row>
    <row r="1939" spans="1:3" x14ac:dyDescent="0.3">
      <c r="A1939" s="1">
        <v>44869</v>
      </c>
      <c r="B1939">
        <v>16161.139648</v>
      </c>
      <c r="C1939">
        <f t="shared" si="35"/>
        <v>9.6903648523607497</v>
      </c>
    </row>
    <row r="1940" spans="1:3" x14ac:dyDescent="0.3">
      <c r="A1940" s="1">
        <v>44872</v>
      </c>
      <c r="B1940">
        <v>16595.910156000002</v>
      </c>
      <c r="C1940">
        <f t="shared" si="35"/>
        <v>9.716911567844468</v>
      </c>
    </row>
    <row r="1941" spans="1:3" x14ac:dyDescent="0.3">
      <c r="A1941" s="1">
        <v>44873</v>
      </c>
      <c r="B1941">
        <v>16557.310547000001</v>
      </c>
      <c r="C1941">
        <f t="shared" si="35"/>
        <v>9.7145830081677484</v>
      </c>
    </row>
    <row r="1942" spans="1:3" x14ac:dyDescent="0.3">
      <c r="A1942" s="1">
        <v>44874</v>
      </c>
      <c r="B1942">
        <v>16358.519531</v>
      </c>
      <c r="C1942">
        <f t="shared" si="35"/>
        <v>9.702504112846821</v>
      </c>
    </row>
    <row r="1943" spans="1:3" x14ac:dyDescent="0.3">
      <c r="A1943" s="1">
        <v>44875</v>
      </c>
      <c r="B1943">
        <v>16081.040039</v>
      </c>
      <c r="C1943">
        <f t="shared" si="35"/>
        <v>9.6853962196836463</v>
      </c>
    </row>
    <row r="1944" spans="1:3" x14ac:dyDescent="0.3">
      <c r="A1944" s="1">
        <v>44876</v>
      </c>
      <c r="B1944">
        <v>17325.660156000002</v>
      </c>
      <c r="C1944">
        <f t="shared" si="35"/>
        <v>9.7599439275745805</v>
      </c>
    </row>
    <row r="1945" spans="1:3" x14ac:dyDescent="0.3">
      <c r="A1945" s="1">
        <v>44879</v>
      </c>
      <c r="B1945">
        <v>17619.710938</v>
      </c>
      <c r="C1945">
        <f t="shared" si="35"/>
        <v>9.7767734940207554</v>
      </c>
    </row>
    <row r="1946" spans="1:3" x14ac:dyDescent="0.3">
      <c r="A1946" s="1">
        <v>44880</v>
      </c>
      <c r="B1946">
        <v>18343.119140999999</v>
      </c>
      <c r="C1946">
        <f t="shared" si="35"/>
        <v>9.8170098044685279</v>
      </c>
    </row>
    <row r="1947" spans="1:3" x14ac:dyDescent="0.3">
      <c r="A1947" s="1">
        <v>44881</v>
      </c>
      <c r="B1947">
        <v>18256.480468999998</v>
      </c>
      <c r="C1947">
        <f t="shared" si="35"/>
        <v>9.812275390171397</v>
      </c>
    </row>
    <row r="1948" spans="1:3" x14ac:dyDescent="0.3">
      <c r="A1948" s="1">
        <v>44882</v>
      </c>
      <c r="B1948">
        <v>18045.660156000002</v>
      </c>
      <c r="C1948">
        <f t="shared" si="35"/>
        <v>9.8006605002813654</v>
      </c>
    </row>
    <row r="1949" spans="1:3" x14ac:dyDescent="0.3">
      <c r="A1949" s="1">
        <v>44883</v>
      </c>
      <c r="B1949">
        <v>17992.539063</v>
      </c>
      <c r="C1949">
        <f t="shared" si="35"/>
        <v>9.7977124544508829</v>
      </c>
    </row>
    <row r="1950" spans="1:3" x14ac:dyDescent="0.3">
      <c r="A1950" s="1">
        <v>44886</v>
      </c>
      <c r="B1950">
        <v>17655.910156000002</v>
      </c>
      <c r="C1950">
        <f t="shared" si="35"/>
        <v>9.7788258593418398</v>
      </c>
    </row>
    <row r="1951" spans="1:3" x14ac:dyDescent="0.3">
      <c r="A1951" s="1">
        <v>44887</v>
      </c>
      <c r="B1951">
        <v>17424.410156000002</v>
      </c>
      <c r="C1951">
        <f t="shared" si="35"/>
        <v>9.7656273846110224</v>
      </c>
    </row>
    <row r="1952" spans="1:3" x14ac:dyDescent="0.3">
      <c r="A1952" s="1">
        <v>44888</v>
      </c>
      <c r="B1952">
        <v>17523.810547000001</v>
      </c>
      <c r="C1952">
        <f t="shared" si="35"/>
        <v>9.7713158378162301</v>
      </c>
    </row>
    <row r="1953" spans="1:3" x14ac:dyDescent="0.3">
      <c r="A1953" s="1">
        <v>44889</v>
      </c>
      <c r="B1953">
        <v>17660.900390999999</v>
      </c>
      <c r="C1953">
        <f t="shared" si="35"/>
        <v>9.7791084576261085</v>
      </c>
    </row>
    <row r="1954" spans="1:3" x14ac:dyDescent="0.3">
      <c r="A1954" s="1">
        <v>44890</v>
      </c>
      <c r="B1954">
        <v>17573.580077999999</v>
      </c>
      <c r="C1954">
        <f t="shared" si="35"/>
        <v>9.774151921267066</v>
      </c>
    </row>
    <row r="1955" spans="1:3" x14ac:dyDescent="0.3">
      <c r="A1955" s="1">
        <v>44893</v>
      </c>
      <c r="B1955">
        <v>17297.939452999999</v>
      </c>
      <c r="C1955">
        <f t="shared" si="35"/>
        <v>9.7583426666290904</v>
      </c>
    </row>
    <row r="1956" spans="1:3" x14ac:dyDescent="0.3">
      <c r="A1956" s="1">
        <v>44894</v>
      </c>
      <c r="B1956">
        <v>18204.679688</v>
      </c>
      <c r="C1956">
        <f t="shared" si="35"/>
        <v>9.8094339657280205</v>
      </c>
    </row>
    <row r="1957" spans="1:3" x14ac:dyDescent="0.3">
      <c r="A1957" s="1">
        <v>44895</v>
      </c>
      <c r="B1957">
        <v>18597.230468999998</v>
      </c>
      <c r="C1957">
        <f t="shared" si="35"/>
        <v>9.8307679490985294</v>
      </c>
    </row>
    <row r="1958" spans="1:3" x14ac:dyDescent="0.3">
      <c r="A1958" s="1">
        <v>44896</v>
      </c>
      <c r="B1958">
        <v>18736.439452999999</v>
      </c>
      <c r="C1958">
        <f t="shared" si="35"/>
        <v>9.838225540568839</v>
      </c>
    </row>
    <row r="1959" spans="1:3" x14ac:dyDescent="0.3">
      <c r="A1959" s="1">
        <v>44897</v>
      </c>
      <c r="B1959">
        <v>18675.349609000001</v>
      </c>
      <c r="C1959">
        <f t="shared" si="35"/>
        <v>9.8349597305219056</v>
      </c>
    </row>
    <row r="1960" spans="1:3" x14ac:dyDescent="0.3">
      <c r="A1960" s="1">
        <v>44900</v>
      </c>
      <c r="B1960">
        <v>19518.289063</v>
      </c>
      <c r="C1960">
        <f t="shared" si="35"/>
        <v>9.8791072056644911</v>
      </c>
    </row>
    <row r="1961" spans="1:3" x14ac:dyDescent="0.3">
      <c r="A1961" s="1">
        <v>44901</v>
      </c>
      <c r="B1961">
        <v>19441.179688</v>
      </c>
      <c r="C1961">
        <f t="shared" si="35"/>
        <v>9.8751487597123528</v>
      </c>
    </row>
    <row r="1962" spans="1:3" x14ac:dyDescent="0.3">
      <c r="A1962" s="1">
        <v>44902</v>
      </c>
      <c r="B1962">
        <v>18814.820313</v>
      </c>
      <c r="C1962">
        <f t="shared" si="35"/>
        <v>9.8424001527826253</v>
      </c>
    </row>
    <row r="1963" spans="1:3" x14ac:dyDescent="0.3">
      <c r="A1963" s="1">
        <v>44903</v>
      </c>
      <c r="B1963">
        <v>19450.230468999998</v>
      </c>
      <c r="C1963">
        <f t="shared" si="35"/>
        <v>9.8756141982823031</v>
      </c>
    </row>
    <row r="1964" spans="1:3" x14ac:dyDescent="0.3">
      <c r="A1964" s="1">
        <v>44904</v>
      </c>
      <c r="B1964">
        <v>19900.869140999999</v>
      </c>
      <c r="C1964">
        <f t="shared" si="35"/>
        <v>9.8985186851859766</v>
      </c>
    </row>
    <row r="1965" spans="1:3" x14ac:dyDescent="0.3">
      <c r="A1965" s="1">
        <v>44907</v>
      </c>
      <c r="B1965">
        <v>19463.630859000001</v>
      </c>
      <c r="C1965">
        <f t="shared" si="35"/>
        <v>9.8763029189629226</v>
      </c>
    </row>
    <row r="1966" spans="1:3" x14ac:dyDescent="0.3">
      <c r="A1966" s="1">
        <v>44908</v>
      </c>
      <c r="B1966">
        <v>19596.199218999998</v>
      </c>
      <c r="C1966">
        <f t="shared" si="35"/>
        <v>9.8830909090162393</v>
      </c>
    </row>
    <row r="1967" spans="1:3" x14ac:dyDescent="0.3">
      <c r="A1967" s="1">
        <v>44909</v>
      </c>
      <c r="B1967">
        <v>19673.449218999998</v>
      </c>
      <c r="C1967">
        <f t="shared" si="35"/>
        <v>9.8870252503062197</v>
      </c>
    </row>
    <row r="1968" spans="1:3" x14ac:dyDescent="0.3">
      <c r="A1968" s="1">
        <v>44910</v>
      </c>
      <c r="B1968">
        <v>19368.589843999998</v>
      </c>
      <c r="C1968">
        <f t="shared" si="35"/>
        <v>9.8714079527183927</v>
      </c>
    </row>
    <row r="1969" spans="1:3" x14ac:dyDescent="0.3">
      <c r="A1969" s="1">
        <v>44911</v>
      </c>
      <c r="B1969">
        <v>19450.669922000001</v>
      </c>
      <c r="C1969">
        <f t="shared" si="35"/>
        <v>9.8756367917439238</v>
      </c>
    </row>
    <row r="1970" spans="1:3" x14ac:dyDescent="0.3">
      <c r="A1970" s="1">
        <v>44914</v>
      </c>
      <c r="B1970">
        <v>19352.810547000001</v>
      </c>
      <c r="C1970">
        <f t="shared" si="35"/>
        <v>9.8705929358174487</v>
      </c>
    </row>
    <row r="1971" spans="1:3" x14ac:dyDescent="0.3">
      <c r="A1971" s="1">
        <v>44915</v>
      </c>
      <c r="B1971">
        <v>19094.800781000002</v>
      </c>
      <c r="C1971">
        <f t="shared" si="35"/>
        <v>9.8571713665598928</v>
      </c>
    </row>
    <row r="1972" spans="1:3" x14ac:dyDescent="0.3">
      <c r="A1972" s="1">
        <v>44916</v>
      </c>
      <c r="B1972">
        <v>19160.490234000001</v>
      </c>
      <c r="C1972">
        <f t="shared" si="35"/>
        <v>9.8606056375232054</v>
      </c>
    </row>
    <row r="1973" spans="1:3" x14ac:dyDescent="0.3">
      <c r="A1973" s="1">
        <v>44917</v>
      </c>
      <c r="B1973">
        <v>19679.220702999999</v>
      </c>
      <c r="C1973">
        <f t="shared" si="35"/>
        <v>9.8873185713974099</v>
      </c>
    </row>
    <row r="1974" spans="1:3" x14ac:dyDescent="0.3">
      <c r="A1974" s="1">
        <v>44918</v>
      </c>
      <c r="B1974">
        <v>19593.060547000001</v>
      </c>
      <c r="C1974">
        <f t="shared" si="35"/>
        <v>9.8829307288023003</v>
      </c>
    </row>
    <row r="1975" spans="1:3" x14ac:dyDescent="0.3">
      <c r="A1975" s="1">
        <v>44923</v>
      </c>
      <c r="B1975">
        <v>19898.910156000002</v>
      </c>
      <c r="C1975">
        <f t="shared" si="35"/>
        <v>9.89842024318272</v>
      </c>
    </row>
    <row r="1976" spans="1:3" x14ac:dyDescent="0.3">
      <c r="A1976" s="1">
        <v>44924</v>
      </c>
      <c r="B1976">
        <v>19741.140625</v>
      </c>
      <c r="C1976">
        <f t="shared" si="35"/>
        <v>9.8904600937396125</v>
      </c>
    </row>
    <row r="1977" spans="1:3" x14ac:dyDescent="0.3">
      <c r="A1977" s="1">
        <v>44925</v>
      </c>
      <c r="B1977">
        <v>19781.410156000002</v>
      </c>
      <c r="C1977">
        <f t="shared" si="35"/>
        <v>9.8924978946476827</v>
      </c>
    </row>
    <row r="1978" spans="1:3" x14ac:dyDescent="0.3">
      <c r="A1978" s="1">
        <v>44929</v>
      </c>
      <c r="B1978">
        <v>20145.289063</v>
      </c>
      <c r="C1978">
        <f t="shared" si="35"/>
        <v>9.9107257466413881</v>
      </c>
    </row>
    <row r="1979" spans="1:3" x14ac:dyDescent="0.3">
      <c r="A1979" s="1">
        <v>44930</v>
      </c>
      <c r="B1979">
        <v>20793.109375</v>
      </c>
      <c r="C1979">
        <f t="shared" si="35"/>
        <v>9.9423769307559748</v>
      </c>
    </row>
    <row r="1980" spans="1:3" x14ac:dyDescent="0.3">
      <c r="A1980" s="1">
        <v>44931</v>
      </c>
      <c r="B1980">
        <v>21052.169922000001</v>
      </c>
      <c r="C1980">
        <f t="shared" si="35"/>
        <v>9.954758917978241</v>
      </c>
    </row>
    <row r="1981" spans="1:3" x14ac:dyDescent="0.3">
      <c r="A1981" s="1">
        <v>44932</v>
      </c>
      <c r="B1981">
        <v>20991.640625</v>
      </c>
      <c r="C1981">
        <f t="shared" si="35"/>
        <v>9.9518795719802764</v>
      </c>
    </row>
    <row r="1982" spans="1:3" x14ac:dyDescent="0.3">
      <c r="A1982" s="1">
        <v>44935</v>
      </c>
      <c r="B1982">
        <v>21388.339843999998</v>
      </c>
      <c r="C1982">
        <f t="shared" si="35"/>
        <v>9.9706011854131162</v>
      </c>
    </row>
    <row r="1983" spans="1:3" x14ac:dyDescent="0.3">
      <c r="A1983" s="1">
        <v>44936</v>
      </c>
      <c r="B1983">
        <v>21331.460938</v>
      </c>
      <c r="C1983">
        <f t="shared" si="35"/>
        <v>9.967938301290566</v>
      </c>
    </row>
    <row r="1984" spans="1:3" x14ac:dyDescent="0.3">
      <c r="A1984" s="1">
        <v>44937</v>
      </c>
      <c r="B1984">
        <v>21436.050781000002</v>
      </c>
      <c r="C1984">
        <f t="shared" si="35"/>
        <v>9.9728293995706956</v>
      </c>
    </row>
    <row r="1985" spans="1:3" x14ac:dyDescent="0.3">
      <c r="A1985" s="1">
        <v>44938</v>
      </c>
      <c r="B1985">
        <v>21514.099609000001</v>
      </c>
      <c r="C1985">
        <f t="shared" si="35"/>
        <v>9.9764637949431183</v>
      </c>
    </row>
    <row r="1986" spans="1:3" x14ac:dyDescent="0.3">
      <c r="A1986" s="1">
        <v>44939</v>
      </c>
      <c r="B1986">
        <v>21738.660156000002</v>
      </c>
      <c r="C1986">
        <f t="shared" si="35"/>
        <v>9.9868475284171865</v>
      </c>
    </row>
    <row r="1987" spans="1:3" x14ac:dyDescent="0.3">
      <c r="A1987" s="1">
        <v>44942</v>
      </c>
      <c r="B1987">
        <v>21746.720702999999</v>
      </c>
      <c r="C1987">
        <f t="shared" si="35"/>
        <v>9.987218252873685</v>
      </c>
    </row>
    <row r="1988" spans="1:3" x14ac:dyDescent="0.3">
      <c r="A1988" s="1">
        <v>44943</v>
      </c>
      <c r="B1988">
        <v>21577.640625</v>
      </c>
      <c r="C1988">
        <f t="shared" si="35"/>
        <v>9.979412901277998</v>
      </c>
    </row>
    <row r="1989" spans="1:3" x14ac:dyDescent="0.3">
      <c r="A1989" s="1">
        <v>44944</v>
      </c>
      <c r="B1989">
        <v>21678</v>
      </c>
      <c r="C1989">
        <f t="shared" si="35"/>
        <v>9.9840532003756959</v>
      </c>
    </row>
    <row r="1990" spans="1:3" x14ac:dyDescent="0.3">
      <c r="A1990" s="1">
        <v>44945</v>
      </c>
      <c r="B1990">
        <v>21650.980468999998</v>
      </c>
      <c r="C1990">
        <f t="shared" si="35"/>
        <v>9.9828060196569322</v>
      </c>
    </row>
    <row r="1991" spans="1:3" x14ac:dyDescent="0.3">
      <c r="A1991" s="1">
        <v>44946</v>
      </c>
      <c r="B1991">
        <v>22044.650390999999</v>
      </c>
      <c r="C1991">
        <f t="shared" ref="C1991:C1998" si="36">LN(B1991)</f>
        <v>10.000825238786721</v>
      </c>
    </row>
    <row r="1992" spans="1:3" x14ac:dyDescent="0.3">
      <c r="A1992" s="1">
        <v>44952</v>
      </c>
      <c r="B1992">
        <v>22566.779297000001</v>
      </c>
      <c r="C1992">
        <f t="shared" si="36"/>
        <v>10.024234161224234</v>
      </c>
    </row>
    <row r="1993" spans="1:3" x14ac:dyDescent="0.3">
      <c r="A1993" s="1">
        <v>44953</v>
      </c>
      <c r="B1993">
        <v>22688.900390999999</v>
      </c>
      <c r="C1993">
        <f t="shared" si="36"/>
        <v>10.029631114325424</v>
      </c>
    </row>
    <row r="1994" spans="1:3" x14ac:dyDescent="0.3">
      <c r="A1994" s="1">
        <v>44956</v>
      </c>
      <c r="B1994">
        <v>22069.730468999998</v>
      </c>
      <c r="C1994">
        <f t="shared" si="36"/>
        <v>10.001962286625234</v>
      </c>
    </row>
    <row r="1995" spans="1:3" x14ac:dyDescent="0.3">
      <c r="A1995" s="1">
        <v>44957</v>
      </c>
      <c r="B1995">
        <v>21842.330077999999</v>
      </c>
      <c r="C1995">
        <f t="shared" si="36"/>
        <v>9.9916051127211354</v>
      </c>
    </row>
    <row r="1996" spans="1:3" x14ac:dyDescent="0.3">
      <c r="A1996" s="1">
        <v>44958</v>
      </c>
      <c r="B1996">
        <v>22072.179688</v>
      </c>
      <c r="C1996">
        <f t="shared" si="36"/>
        <v>10.002073256857098</v>
      </c>
    </row>
    <row r="1997" spans="1:3" x14ac:dyDescent="0.3">
      <c r="A1997" s="1">
        <v>44959</v>
      </c>
      <c r="B1997">
        <v>21958.359375</v>
      </c>
      <c r="C1997">
        <f t="shared" si="36"/>
        <v>9.9969031831331048</v>
      </c>
    </row>
    <row r="1998" spans="1:3" x14ac:dyDescent="0.3">
      <c r="A1998" s="1">
        <v>44960</v>
      </c>
      <c r="B1998">
        <v>21660.470702999999</v>
      </c>
      <c r="C1998">
        <f t="shared" si="36"/>
        <v>9.9832442517593005</v>
      </c>
    </row>
    <row r="1999" spans="1:3" x14ac:dyDescent="0.3">
      <c r="A1999" s="1">
        <v>44963</v>
      </c>
    </row>
    <row r="2000" spans="1:3" x14ac:dyDescent="0.3">
      <c r="A2000" s="1">
        <v>44964</v>
      </c>
    </row>
    <row r="2001" spans="1:1" x14ac:dyDescent="0.3">
      <c r="A2001" s="1">
        <v>44965</v>
      </c>
    </row>
    <row r="2002" spans="1:1" x14ac:dyDescent="0.3">
      <c r="A2002" s="1">
        <v>44966</v>
      </c>
    </row>
    <row r="2003" spans="1:1" x14ac:dyDescent="0.3">
      <c r="A2003" s="1">
        <v>44967</v>
      </c>
    </row>
    <row r="2004" spans="1:1" x14ac:dyDescent="0.3">
      <c r="A2004" s="1">
        <v>44970</v>
      </c>
    </row>
    <row r="2005" spans="1:1" x14ac:dyDescent="0.3">
      <c r="A2005" s="1">
        <v>44971</v>
      </c>
    </row>
    <row r="2006" spans="1:1" x14ac:dyDescent="0.3">
      <c r="A2006" s="1">
        <v>44972</v>
      </c>
    </row>
    <row r="2007" spans="1:1" x14ac:dyDescent="0.3">
      <c r="A2007" s="1">
        <v>44973</v>
      </c>
    </row>
    <row r="2008" spans="1:1" x14ac:dyDescent="0.3">
      <c r="A2008" s="1">
        <v>44974</v>
      </c>
    </row>
    <row r="2009" spans="1:1" x14ac:dyDescent="0.3">
      <c r="A2009" s="1">
        <v>44977</v>
      </c>
    </row>
    <row r="2010" spans="1:1" x14ac:dyDescent="0.3">
      <c r="A2010" s="1">
        <v>44978</v>
      </c>
    </row>
    <row r="2011" spans="1:1" x14ac:dyDescent="0.3">
      <c r="A2011" s="1">
        <v>44979</v>
      </c>
    </row>
    <row r="2012" spans="1:1" x14ac:dyDescent="0.3">
      <c r="A2012" s="1">
        <v>44980</v>
      </c>
    </row>
    <row r="2013" spans="1:1" x14ac:dyDescent="0.3">
      <c r="A2013" s="1">
        <v>44981</v>
      </c>
    </row>
    <row r="2014" spans="1:1" x14ac:dyDescent="0.3">
      <c r="A2014" s="1">
        <v>44984</v>
      </c>
    </row>
    <row r="2015" spans="1:1" x14ac:dyDescent="0.3">
      <c r="A2015" s="1">
        <v>44985</v>
      </c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xxx">
                <anchor moveWithCells="1" sizeWithCells="1">
                  <from>
                    <xdr:col>24</xdr:col>
                    <xdr:colOff>53340</xdr:colOff>
                    <xdr:row>4</xdr:row>
                    <xdr:rowOff>114300</xdr:rowOff>
                  </from>
                  <to>
                    <xdr:col>26</xdr:col>
                    <xdr:colOff>495300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D525-FA79-43E7-A7A9-BCDFCFEDEB63}">
  <sheetPr codeName="Sheet2"/>
  <dimension ref="A5:B5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K18" sqref="K18"/>
    </sheetView>
  </sheetViews>
  <sheetFormatPr defaultRowHeight="14.4" x14ac:dyDescent="0.3"/>
  <cols>
    <col min="1" max="1" width="10.77734375" bestFit="1" customWidth="1"/>
  </cols>
  <sheetData>
    <row r="5" spans="1:2" x14ac:dyDescent="0.3">
      <c r="A5" t="s">
        <v>0</v>
      </c>
      <c r="B5" t="s">
        <v>1</v>
      </c>
    </row>
    <row r="6" spans="1:2" x14ac:dyDescent="0.3">
      <c r="A6" s="1">
        <v>40543</v>
      </c>
      <c r="B6">
        <v>100</v>
      </c>
    </row>
    <row r="7" spans="1:2" x14ac:dyDescent="0.3">
      <c r="A7" s="1">
        <f>WORKDAY(A6,1)</f>
        <v>40546</v>
      </c>
      <c r="B7">
        <v>101</v>
      </c>
    </row>
    <row r="8" spans="1:2" x14ac:dyDescent="0.3">
      <c r="A8" s="1">
        <f t="shared" ref="A8:A51" si="0">WORKDAY(A7,1)</f>
        <v>40547</v>
      </c>
      <c r="B8">
        <v>102</v>
      </c>
    </row>
    <row r="9" spans="1:2" x14ac:dyDescent="0.3">
      <c r="A9" s="1">
        <f t="shared" si="0"/>
        <v>40548</v>
      </c>
      <c r="B9">
        <v>103</v>
      </c>
    </row>
    <row r="10" spans="1:2" x14ac:dyDescent="0.3">
      <c r="A10" s="1">
        <f t="shared" si="0"/>
        <v>40549</v>
      </c>
      <c r="B10">
        <v>104</v>
      </c>
    </row>
    <row r="11" spans="1:2" x14ac:dyDescent="0.3">
      <c r="A11" s="1">
        <f t="shared" si="0"/>
        <v>40550</v>
      </c>
      <c r="B11">
        <v>105</v>
      </c>
    </row>
    <row r="12" spans="1:2" x14ac:dyDescent="0.3">
      <c r="A12" s="1">
        <f t="shared" si="0"/>
        <v>40553</v>
      </c>
      <c r="B12">
        <v>106</v>
      </c>
    </row>
    <row r="13" spans="1:2" x14ac:dyDescent="0.3">
      <c r="A13" s="1">
        <f t="shared" si="0"/>
        <v>40554</v>
      </c>
      <c r="B13">
        <v>107</v>
      </c>
    </row>
    <row r="14" spans="1:2" x14ac:dyDescent="0.3">
      <c r="A14" s="1">
        <f t="shared" si="0"/>
        <v>40555</v>
      </c>
      <c r="B14">
        <v>108</v>
      </c>
    </row>
    <row r="15" spans="1:2" x14ac:dyDescent="0.3">
      <c r="A15" s="1">
        <f t="shared" si="0"/>
        <v>40556</v>
      </c>
      <c r="B15">
        <v>109</v>
      </c>
    </row>
    <row r="16" spans="1:2" x14ac:dyDescent="0.3">
      <c r="A16" s="1">
        <f t="shared" si="0"/>
        <v>40557</v>
      </c>
      <c r="B16">
        <v>110</v>
      </c>
    </row>
    <row r="17" spans="1:2" x14ac:dyDescent="0.3">
      <c r="A17" s="1">
        <f t="shared" si="0"/>
        <v>40560</v>
      </c>
      <c r="B17">
        <v>111</v>
      </c>
    </row>
    <row r="18" spans="1:2" x14ac:dyDescent="0.3">
      <c r="A18" s="1">
        <f t="shared" si="0"/>
        <v>40561</v>
      </c>
      <c r="B18">
        <v>112</v>
      </c>
    </row>
    <row r="19" spans="1:2" x14ac:dyDescent="0.3">
      <c r="A19" s="1">
        <f t="shared" si="0"/>
        <v>40562</v>
      </c>
      <c r="B19">
        <v>113</v>
      </c>
    </row>
    <row r="20" spans="1:2" x14ac:dyDescent="0.3">
      <c r="A20" s="1">
        <f t="shared" si="0"/>
        <v>40563</v>
      </c>
      <c r="B20">
        <v>114</v>
      </c>
    </row>
    <row r="21" spans="1:2" x14ac:dyDescent="0.3">
      <c r="A21" s="1">
        <f t="shared" si="0"/>
        <v>40564</v>
      </c>
      <c r="B21">
        <v>115</v>
      </c>
    </row>
    <row r="22" spans="1:2" x14ac:dyDescent="0.3">
      <c r="A22" s="1">
        <f t="shared" si="0"/>
        <v>40567</v>
      </c>
      <c r="B22">
        <v>116</v>
      </c>
    </row>
    <row r="23" spans="1:2" x14ac:dyDescent="0.3">
      <c r="A23" s="1">
        <f t="shared" si="0"/>
        <v>40568</v>
      </c>
      <c r="B23">
        <v>117</v>
      </c>
    </row>
    <row r="24" spans="1:2" x14ac:dyDescent="0.3">
      <c r="A24" s="1">
        <f t="shared" si="0"/>
        <v>40569</v>
      </c>
      <c r="B24">
        <v>118</v>
      </c>
    </row>
    <row r="25" spans="1:2" x14ac:dyDescent="0.3">
      <c r="A25" s="1">
        <f t="shared" si="0"/>
        <v>40570</v>
      </c>
      <c r="B25">
        <v>119</v>
      </c>
    </row>
    <row r="26" spans="1:2" x14ac:dyDescent="0.3">
      <c r="A26" s="1">
        <f t="shared" si="0"/>
        <v>40571</v>
      </c>
      <c r="B26">
        <v>120</v>
      </c>
    </row>
    <row r="27" spans="1:2" x14ac:dyDescent="0.3">
      <c r="A27" s="1">
        <f t="shared" si="0"/>
        <v>40574</v>
      </c>
      <c r="B27">
        <f>B26-3</f>
        <v>117</v>
      </c>
    </row>
    <row r="28" spans="1:2" x14ac:dyDescent="0.3">
      <c r="A28" s="1">
        <f t="shared" si="0"/>
        <v>40575</v>
      </c>
      <c r="B28">
        <f>B27-5</f>
        <v>112</v>
      </c>
    </row>
    <row r="29" spans="1:2" x14ac:dyDescent="0.3">
      <c r="A29" s="1">
        <f t="shared" si="0"/>
        <v>40576</v>
      </c>
      <c r="B29">
        <f>B28+2</f>
        <v>114</v>
      </c>
    </row>
    <row r="30" spans="1:2" x14ac:dyDescent="0.3">
      <c r="A30" s="1">
        <f t="shared" si="0"/>
        <v>40577</v>
      </c>
      <c r="B30">
        <f>B29+3</f>
        <v>117</v>
      </c>
    </row>
    <row r="31" spans="1:2" x14ac:dyDescent="0.3">
      <c r="A31" s="1">
        <f t="shared" si="0"/>
        <v>40578</v>
      </c>
      <c r="B31">
        <f>B30+4</f>
        <v>121</v>
      </c>
    </row>
    <row r="32" spans="1:2" x14ac:dyDescent="0.3">
      <c r="A32" s="1">
        <f t="shared" si="0"/>
        <v>40581</v>
      </c>
      <c r="B32">
        <f>B31+5</f>
        <v>126</v>
      </c>
    </row>
    <row r="33" spans="1:2" x14ac:dyDescent="0.3">
      <c r="A33" s="1">
        <f t="shared" si="0"/>
        <v>40582</v>
      </c>
      <c r="B33">
        <f>B32+8</f>
        <v>134</v>
      </c>
    </row>
    <row r="34" spans="1:2" x14ac:dyDescent="0.3">
      <c r="A34" s="1">
        <f t="shared" si="0"/>
        <v>40583</v>
      </c>
      <c r="B34">
        <f t="shared" ref="B34:B47" si="1">B33+1</f>
        <v>135</v>
      </c>
    </row>
    <row r="35" spans="1:2" x14ac:dyDescent="0.3">
      <c r="A35" s="1">
        <f t="shared" si="0"/>
        <v>40584</v>
      </c>
      <c r="B35">
        <f t="shared" si="1"/>
        <v>136</v>
      </c>
    </row>
    <row r="36" spans="1:2" x14ac:dyDescent="0.3">
      <c r="A36" s="1">
        <f t="shared" si="0"/>
        <v>40585</v>
      </c>
      <c r="B36">
        <f t="shared" si="1"/>
        <v>137</v>
      </c>
    </row>
    <row r="37" spans="1:2" x14ac:dyDescent="0.3">
      <c r="A37" s="1">
        <f t="shared" si="0"/>
        <v>40588</v>
      </c>
      <c r="B37">
        <f t="shared" si="1"/>
        <v>138</v>
      </c>
    </row>
    <row r="38" spans="1:2" x14ac:dyDescent="0.3">
      <c r="A38" s="1">
        <f t="shared" si="0"/>
        <v>40589</v>
      </c>
      <c r="B38">
        <f t="shared" si="1"/>
        <v>139</v>
      </c>
    </row>
    <row r="39" spans="1:2" x14ac:dyDescent="0.3">
      <c r="A39" s="1">
        <f t="shared" si="0"/>
        <v>40590</v>
      </c>
      <c r="B39">
        <f t="shared" si="1"/>
        <v>140</v>
      </c>
    </row>
    <row r="40" spans="1:2" x14ac:dyDescent="0.3">
      <c r="A40" s="1">
        <f t="shared" si="0"/>
        <v>40591</v>
      </c>
      <c r="B40">
        <f t="shared" si="1"/>
        <v>141</v>
      </c>
    </row>
    <row r="41" spans="1:2" x14ac:dyDescent="0.3">
      <c r="A41" s="1">
        <f t="shared" si="0"/>
        <v>40592</v>
      </c>
      <c r="B41">
        <f t="shared" si="1"/>
        <v>142</v>
      </c>
    </row>
    <row r="42" spans="1:2" x14ac:dyDescent="0.3">
      <c r="A42" s="1">
        <f t="shared" si="0"/>
        <v>40595</v>
      </c>
      <c r="B42">
        <f t="shared" si="1"/>
        <v>143</v>
      </c>
    </row>
    <row r="43" spans="1:2" x14ac:dyDescent="0.3">
      <c r="A43" s="1">
        <f t="shared" si="0"/>
        <v>40596</v>
      </c>
      <c r="B43">
        <f t="shared" si="1"/>
        <v>144</v>
      </c>
    </row>
    <row r="44" spans="1:2" x14ac:dyDescent="0.3">
      <c r="A44" s="1">
        <f t="shared" si="0"/>
        <v>40597</v>
      </c>
      <c r="B44">
        <f t="shared" si="1"/>
        <v>145</v>
      </c>
    </row>
    <row r="45" spans="1:2" x14ac:dyDescent="0.3">
      <c r="A45" s="1">
        <f t="shared" si="0"/>
        <v>40598</v>
      </c>
      <c r="B45">
        <f t="shared" si="1"/>
        <v>146</v>
      </c>
    </row>
    <row r="46" spans="1:2" x14ac:dyDescent="0.3">
      <c r="A46" s="1">
        <f t="shared" si="0"/>
        <v>40599</v>
      </c>
      <c r="B46">
        <f t="shared" si="1"/>
        <v>147</v>
      </c>
    </row>
    <row r="47" spans="1:2" x14ac:dyDescent="0.3">
      <c r="A47" s="1">
        <f t="shared" si="0"/>
        <v>40602</v>
      </c>
      <c r="B47">
        <f t="shared" si="1"/>
        <v>148</v>
      </c>
    </row>
    <row r="48" spans="1:2" x14ac:dyDescent="0.3">
      <c r="A48" s="1">
        <f t="shared" si="0"/>
        <v>40603</v>
      </c>
      <c r="B48">
        <f>B47+0.5</f>
        <v>148.5</v>
      </c>
    </row>
    <row r="49" spans="1:2" x14ac:dyDescent="0.3">
      <c r="A49" s="1">
        <f t="shared" si="0"/>
        <v>40604</v>
      </c>
      <c r="B49">
        <f t="shared" ref="B49:B51" si="2">B48+0.5</f>
        <v>149</v>
      </c>
    </row>
    <row r="50" spans="1:2" x14ac:dyDescent="0.3">
      <c r="A50" s="1">
        <f t="shared" si="0"/>
        <v>40605</v>
      </c>
      <c r="B50">
        <f t="shared" si="2"/>
        <v>149.5</v>
      </c>
    </row>
    <row r="51" spans="1:2" x14ac:dyDescent="0.3">
      <c r="A51" s="1">
        <f t="shared" si="0"/>
        <v>40606</v>
      </c>
      <c r="B51">
        <f t="shared" si="2"/>
        <v>150</v>
      </c>
    </row>
    <row r="52" spans="1:2" x14ac:dyDescent="0.3">
      <c r="A52" s="1"/>
    </row>
    <row r="53" spans="1:2" x14ac:dyDescent="0.3">
      <c r="A53" s="1"/>
    </row>
    <row r="54" spans="1:2" x14ac:dyDescent="0.3">
      <c r="A54" s="1"/>
    </row>
    <row r="55" spans="1:2" x14ac:dyDescent="0.3">
      <c r="A55" s="1"/>
    </row>
    <row r="56" spans="1:2" x14ac:dyDescent="0.3">
      <c r="A56" s="1"/>
    </row>
    <row r="57" spans="1:2" x14ac:dyDescent="0.3">
      <c r="A57" s="1"/>
    </row>
    <row r="58" spans="1:2" x14ac:dyDescent="0.3">
      <c r="A58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1EA6D-0B74-4967-B287-70D9EFA1CF80}">
  <sheetPr codeName="Sheet3"/>
  <dimension ref="A10:K29"/>
  <sheetViews>
    <sheetView workbookViewId="0">
      <selection activeCell="E12" sqref="E12"/>
    </sheetView>
  </sheetViews>
  <sheetFormatPr defaultRowHeight="14.4" x14ac:dyDescent="0.3"/>
  <sheetData>
    <row r="10" spans="1:11" x14ac:dyDescent="0.3">
      <c r="A10">
        <v>1</v>
      </c>
      <c r="B10">
        <v>10.096645205739135</v>
      </c>
      <c r="D10">
        <v>1</v>
      </c>
      <c r="E10">
        <v>10.096645205739135</v>
      </c>
      <c r="G10">
        <v>1</v>
      </c>
      <c r="H10">
        <v>10.096645205739135</v>
      </c>
      <c r="J10">
        <v>1</v>
      </c>
      <c r="K10">
        <f>FORECAST($J10,$B$10:$B$19,$A$10:$A$19)</f>
        <v>10.102589880687026</v>
      </c>
    </row>
    <row r="11" spans="1:11" x14ac:dyDescent="0.3">
      <c r="A11">
        <f>A10+1</f>
        <v>2</v>
      </c>
      <c r="B11">
        <v>10.102371229636208</v>
      </c>
      <c r="D11">
        <v>10</v>
      </c>
      <c r="E11">
        <v>10.078527699885123</v>
      </c>
      <c r="G11">
        <v>20</v>
      </c>
      <c r="H11">
        <v>10.105462608227764</v>
      </c>
      <c r="J11">
        <v>10</v>
      </c>
      <c r="K11">
        <f>FORECAST($J11,$B$10:$B$19,$A$10:$A$19)</f>
        <v>10.075958326137769</v>
      </c>
    </row>
    <row r="12" spans="1:11" x14ac:dyDescent="0.3">
      <c r="A12">
        <f t="shared" ref="A12:A29" si="0">A11+1</f>
        <v>3</v>
      </c>
      <c r="B12">
        <v>10.097149591585445</v>
      </c>
      <c r="D12">
        <v>20</v>
      </c>
      <c r="E12">
        <v>10.105462608227764</v>
      </c>
    </row>
    <row r="13" spans="1:11" x14ac:dyDescent="0.3">
      <c r="A13">
        <f t="shared" si="0"/>
        <v>4</v>
      </c>
      <c r="B13">
        <v>10.096885076260422</v>
      </c>
    </row>
    <row r="14" spans="1:11" x14ac:dyDescent="0.3">
      <c r="A14">
        <f t="shared" si="0"/>
        <v>5</v>
      </c>
      <c r="B14">
        <v>10.096674025452973</v>
      </c>
    </row>
    <row r="15" spans="1:11" x14ac:dyDescent="0.3">
      <c r="A15">
        <f t="shared" si="0"/>
        <v>6</v>
      </c>
      <c r="B15">
        <v>10.08948820556467</v>
      </c>
    </row>
    <row r="16" spans="1:11" x14ac:dyDescent="0.3">
      <c r="A16">
        <f t="shared" si="0"/>
        <v>7</v>
      </c>
      <c r="B16">
        <v>10.08</v>
      </c>
      <c r="J16">
        <v>10</v>
      </c>
      <c r="K16">
        <f>FORECAST($J16,$B$19:$B$29,$A$19:$A$29)</f>
        <v>10.080199251189894</v>
      </c>
    </row>
    <row r="17" spans="1:11" x14ac:dyDescent="0.3">
      <c r="A17">
        <f t="shared" si="0"/>
        <v>8</v>
      </c>
      <c r="B17">
        <v>10.074999999999999</v>
      </c>
      <c r="J17">
        <v>20</v>
      </c>
      <c r="K17">
        <f>FORECAST($J17,$B$19:$B$29,$A$19:$A$29)</f>
        <v>10.112462700180531</v>
      </c>
    </row>
    <row r="18" spans="1:11" x14ac:dyDescent="0.3">
      <c r="A18">
        <f t="shared" si="0"/>
        <v>9</v>
      </c>
      <c r="B18">
        <v>10.08</v>
      </c>
    </row>
    <row r="19" spans="1:11" x14ac:dyDescent="0.3">
      <c r="A19">
        <f t="shared" si="0"/>
        <v>10</v>
      </c>
      <c r="B19">
        <v>10.078527699885123</v>
      </c>
    </row>
    <row r="20" spans="1:11" x14ac:dyDescent="0.3">
      <c r="A20">
        <f t="shared" si="0"/>
        <v>11</v>
      </c>
      <c r="B20">
        <v>10.088180481611317</v>
      </c>
    </row>
    <row r="21" spans="1:11" x14ac:dyDescent="0.3">
      <c r="A21">
        <f t="shared" si="0"/>
        <v>12</v>
      </c>
      <c r="B21">
        <v>10.087558392233889</v>
      </c>
    </row>
    <row r="22" spans="1:11" x14ac:dyDescent="0.3">
      <c r="A22">
        <f t="shared" si="0"/>
        <v>13</v>
      </c>
      <c r="B22">
        <v>10.091603972837493</v>
      </c>
    </row>
    <row r="23" spans="1:11" x14ac:dyDescent="0.3">
      <c r="A23">
        <f t="shared" si="0"/>
        <v>14</v>
      </c>
      <c r="B23">
        <v>10.09</v>
      </c>
    </row>
    <row r="24" spans="1:11" x14ac:dyDescent="0.3">
      <c r="A24">
        <f t="shared" si="0"/>
        <v>15</v>
      </c>
      <c r="B24">
        <v>10.085000000000001</v>
      </c>
    </row>
    <row r="25" spans="1:11" x14ac:dyDescent="0.3">
      <c r="A25">
        <f t="shared" si="0"/>
        <v>16</v>
      </c>
      <c r="B25">
        <v>10.1</v>
      </c>
    </row>
    <row r="26" spans="1:11" x14ac:dyDescent="0.3">
      <c r="A26">
        <f t="shared" si="0"/>
        <v>17</v>
      </c>
      <c r="B26">
        <v>10.105</v>
      </c>
    </row>
    <row r="27" spans="1:11" x14ac:dyDescent="0.3">
      <c r="A27">
        <f t="shared" si="0"/>
        <v>18</v>
      </c>
      <c r="B27">
        <v>10.114401864961284</v>
      </c>
    </row>
    <row r="28" spans="1:11" x14ac:dyDescent="0.3">
      <c r="A28">
        <f t="shared" si="0"/>
        <v>19</v>
      </c>
      <c r="B28">
        <v>10.113905712780468</v>
      </c>
    </row>
    <row r="29" spans="1:11" x14ac:dyDescent="0.3">
      <c r="A29">
        <f t="shared" si="0"/>
        <v>20</v>
      </c>
      <c r="B29">
        <v>10.105462608227764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Illustrate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</dc:creator>
  <cp:lastModifiedBy>vittorio maniezzo</cp:lastModifiedBy>
  <dcterms:created xsi:type="dcterms:W3CDTF">2023-02-06T08:33:27Z</dcterms:created>
  <dcterms:modified xsi:type="dcterms:W3CDTF">2024-01-01T15:30:02Z</dcterms:modified>
</cp:coreProperties>
</file>