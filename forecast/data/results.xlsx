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\segmentation\forecast\data\"/>
    </mc:Choice>
  </mc:AlternateContent>
  <xr:revisionPtr revIDLastSave="0" documentId="13_ncr:1_{4FFB4DC7-3279-40B4-AE6B-0946850F6C99}" xr6:coauthVersionLast="47" xr6:coauthVersionMax="47" xr10:uidLastSave="{00000000-0000-0000-0000-000000000000}"/>
  <bookViews>
    <workbookView xWindow="744" yWindow="504" windowWidth="20388" windowHeight="13164" xr2:uid="{2DAEB5BC-A5AE-4635-A8DF-F7CD41E38788}"/>
  </bookViews>
  <sheets>
    <sheet name="result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S62" i="1" l="1"/>
  <c r="S67" i="1"/>
  <c r="S66" i="1"/>
  <c r="S36" i="1"/>
  <c r="S37" i="1"/>
  <c r="S38" i="1"/>
  <c r="S39" i="1"/>
  <c r="S40" i="1"/>
  <c r="S41" i="1"/>
  <c r="S42" i="1"/>
  <c r="S43" i="1"/>
  <c r="S44" i="1"/>
  <c r="S45" i="1"/>
  <c r="S46" i="1"/>
  <c r="S47" i="1"/>
  <c r="S48" i="1"/>
  <c r="S49" i="1"/>
  <c r="S50" i="1"/>
  <c r="S51" i="1"/>
  <c r="S52" i="1"/>
  <c r="S53" i="1"/>
  <c r="S54" i="1"/>
  <c r="S55" i="1"/>
  <c r="S56" i="1"/>
  <c r="S57" i="1"/>
  <c r="S58" i="1"/>
  <c r="S59" i="1"/>
  <c r="S60" i="1"/>
  <c r="S61" i="1"/>
  <c r="S63" i="1"/>
  <c r="S64" i="1"/>
  <c r="S35" i="1"/>
  <c r="O67" i="1"/>
  <c r="O66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35" i="1"/>
  <c r="K67" i="1"/>
  <c r="K66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35" i="1"/>
  <c r="G66" i="1"/>
  <c r="G67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35" i="1"/>
  <c r="G4" i="1"/>
  <c r="O32" i="1"/>
  <c r="K32" i="1"/>
  <c r="G32" i="1"/>
  <c r="S31" i="1"/>
  <c r="O31" i="1"/>
  <c r="K31" i="1"/>
  <c r="G31" i="1"/>
  <c r="S4" i="1"/>
  <c r="S5" i="1"/>
  <c r="S6" i="1"/>
  <c r="S7" i="1"/>
  <c r="S8" i="1"/>
  <c r="S9" i="1"/>
  <c r="S10" i="1"/>
  <c r="S11" i="1"/>
  <c r="S12" i="1"/>
  <c r="S13" i="1"/>
  <c r="S14" i="1"/>
  <c r="S15" i="1"/>
  <c r="S16" i="1"/>
  <c r="S17" i="1"/>
  <c r="S18" i="1"/>
  <c r="S19" i="1"/>
  <c r="S20" i="1"/>
  <c r="S21" i="1"/>
  <c r="S22" i="1"/>
  <c r="S23" i="1"/>
  <c r="S24" i="1"/>
  <c r="S25" i="1"/>
  <c r="S26" i="1"/>
  <c r="S27" i="1"/>
  <c r="S28" i="1"/>
  <c r="S29" i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S3" i="1"/>
  <c r="S32" i="1" s="1"/>
  <c r="O3" i="1"/>
  <c r="K3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" i="1"/>
</calcChain>
</file>

<file path=xl/sharedStrings.xml><?xml version="1.0" encoding="utf-8"?>
<sst xmlns="http://schemas.openxmlformats.org/spreadsheetml/2006/main" count="85" uniqueCount="70">
  <si>
    <t>N2701</t>
  </si>
  <si>
    <t>points</t>
  </si>
  <si>
    <t>segm</t>
  </si>
  <si>
    <t>nint</t>
  </si>
  <si>
    <t>base</t>
  </si>
  <si>
    <t>fore</t>
  </si>
  <si>
    <t>RF</t>
  </si>
  <si>
    <t>N2737</t>
  </si>
  <si>
    <t>N2743</t>
  </si>
  <si>
    <t>N2688</t>
  </si>
  <si>
    <t>N2721</t>
  </si>
  <si>
    <t>N2841</t>
  </si>
  <si>
    <t>N2554</t>
  </si>
  <si>
    <t>N2615</t>
  </si>
  <si>
    <t>N2522</t>
  </si>
  <si>
    <t>N2544</t>
  </si>
  <si>
    <t>N2208</t>
  </si>
  <si>
    <t>N2186</t>
  </si>
  <si>
    <t>N1979</t>
  </si>
  <si>
    <t>N2130</t>
  </si>
  <si>
    <t>N2144</t>
  </si>
  <si>
    <t>N2465</t>
  </si>
  <si>
    <t>N2511</t>
  </si>
  <si>
    <t>N2257</t>
  </si>
  <si>
    <t>N2355</t>
  </si>
  <si>
    <t>N2373</t>
  </si>
  <si>
    <t>N1861</t>
  </si>
  <si>
    <t>N1747</t>
  </si>
  <si>
    <t>N1790</t>
  </si>
  <si>
    <t>N1789</t>
  </si>
  <si>
    <t>N1751</t>
  </si>
  <si>
    <t>N2780</t>
  </si>
  <si>
    <t>N2783</t>
  </si>
  <si>
    <t>AR</t>
  </si>
  <si>
    <t>HW</t>
  </si>
  <si>
    <t>theta</t>
  </si>
  <si>
    <t>delta%</t>
  </si>
  <si>
    <t>med</t>
  </si>
  <si>
    <t>avg</t>
  </si>
  <si>
    <t>std</t>
  </si>
  <si>
    <t>Q12635</t>
  </si>
  <si>
    <t>Q12163</t>
  </si>
  <si>
    <t>Q12036</t>
  </si>
  <si>
    <t>Q12726</t>
  </si>
  <si>
    <t>Q11722</t>
  </si>
  <si>
    <t>Q22725</t>
  </si>
  <si>
    <t>Q22366</t>
  </si>
  <si>
    <t>Q19569</t>
  </si>
  <si>
    <t>Q20713</t>
  </si>
  <si>
    <t>Q23085</t>
  </si>
  <si>
    <t>Q14875</t>
  </si>
  <si>
    <t>Q13248</t>
  </si>
  <si>
    <t>Q14559</t>
  </si>
  <si>
    <t>Q14720</t>
  </si>
  <si>
    <t>Q15440</t>
  </si>
  <si>
    <t>Q1757</t>
  </si>
  <si>
    <t>Q206</t>
  </si>
  <si>
    <t>Q4505</t>
  </si>
  <si>
    <t>Q2829</t>
  </si>
  <si>
    <t>Q3365</t>
  </si>
  <si>
    <t>Q10783</t>
  </si>
  <si>
    <t>Q8960</t>
  </si>
  <si>
    <t>Q11058</t>
  </si>
  <si>
    <t>Q8881</t>
  </si>
  <si>
    <t>Q9760</t>
  </si>
  <si>
    <t>Q23500</t>
  </si>
  <si>
    <t>Q23460</t>
  </si>
  <si>
    <t>Q23631</t>
  </si>
  <si>
    <t>Q23439</t>
  </si>
  <si>
    <t>Q23680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</si>
</sst>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18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/>
      <top/>
      <bottom/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">
    <xf numFmtId="0" fontId="0" fillId="0" borderId="0" xfId="0"/>
    <xf numFmtId="0" fontId="0" fillId="0" borderId="10" xfId="0" applyBorder="1"/>
    <xf numFmtId="164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35786A-BC82-4E1D-B6E5-2D158D4CF56D}">
  <dimension ref="A1:S68"/>
  <sheetViews>
    <sheetView tabSelected="1" topLeftCell="A43" workbookViewId="0">
      <selection activeCell="S70" sqref="S70"/>
    </sheetView>
  </sheetViews>
  <sheetFormatPr defaultRowHeight="15.6" x14ac:dyDescent="0.3"/>
  <cols>
    <col min="4" max="4" width="8.796875" style="1"/>
    <col min="8" max="8" width="8.796875" style="1"/>
    <col min="12" max="12" width="8.796875" style="1"/>
    <col min="16" max="16" width="8.796875" style="1"/>
  </cols>
  <sheetData>
    <row r="1" spans="1:19" x14ac:dyDescent="0.3">
      <c r="E1" t="s">
        <v>33</v>
      </c>
      <c r="I1" t="s">
        <v>34</v>
      </c>
      <c r="M1" t="s">
        <v>35</v>
      </c>
      <c r="Q1" t="s">
        <v>6</v>
      </c>
    </row>
    <row r="2" spans="1:19" x14ac:dyDescent="0.3">
      <c r="B2" s="1" t="s">
        <v>1</v>
      </c>
      <c r="C2" t="s">
        <v>2</v>
      </c>
      <c r="D2" s="1" t="s">
        <v>3</v>
      </c>
      <c r="E2" t="s">
        <v>4</v>
      </c>
      <c r="F2" t="s">
        <v>5</v>
      </c>
      <c r="G2" t="s">
        <v>36</v>
      </c>
      <c r="H2" s="1" t="s">
        <v>3</v>
      </c>
      <c r="I2" t="s">
        <v>4</v>
      </c>
      <c r="J2" t="s">
        <v>5</v>
      </c>
      <c r="K2" t="s">
        <v>36</v>
      </c>
      <c r="L2" s="1" t="s">
        <v>3</v>
      </c>
      <c r="M2" t="s">
        <v>4</v>
      </c>
      <c r="N2" t="s">
        <v>5</v>
      </c>
      <c r="O2" t="s">
        <v>36</v>
      </c>
      <c r="P2" s="1" t="s">
        <v>3</v>
      </c>
      <c r="Q2" t="s">
        <v>4</v>
      </c>
      <c r="R2" t="s">
        <v>5</v>
      </c>
      <c r="S2" t="s">
        <v>36</v>
      </c>
    </row>
    <row r="3" spans="1:19" x14ac:dyDescent="0.3">
      <c r="A3" t="s">
        <v>0</v>
      </c>
      <c r="B3" s="1">
        <v>135</v>
      </c>
      <c r="C3">
        <v>5671</v>
      </c>
      <c r="D3" s="1">
        <v>4</v>
      </c>
      <c r="E3">
        <v>39.799999999999997</v>
      </c>
      <c r="F3">
        <v>16.02</v>
      </c>
      <c r="G3" s="2">
        <f>(E3-F3)/E3</f>
        <v>0.59748743718592967</v>
      </c>
      <c r="H3" s="1">
        <v>1</v>
      </c>
      <c r="I3">
        <v>13.17</v>
      </c>
      <c r="J3">
        <v>13.17</v>
      </c>
      <c r="K3" s="2">
        <f>(I3-J3)/I3</f>
        <v>0</v>
      </c>
      <c r="L3" s="1">
        <v>4</v>
      </c>
      <c r="M3">
        <v>32.92</v>
      </c>
      <c r="N3">
        <v>35.39</v>
      </c>
      <c r="O3" s="2">
        <f>(M3-N3)/M3</f>
        <v>-7.5030376670716853E-2</v>
      </c>
      <c r="P3" s="1">
        <v>2</v>
      </c>
      <c r="Q3">
        <v>61.56</v>
      </c>
      <c r="R3">
        <v>64.09</v>
      </c>
      <c r="S3" s="2">
        <f>(Q3-R3)/Q3</f>
        <v>-4.1098115659519187E-2</v>
      </c>
    </row>
    <row r="4" spans="1:19" x14ac:dyDescent="0.3">
      <c r="A4" t="s">
        <v>7</v>
      </c>
      <c r="B4" s="1">
        <v>134</v>
      </c>
      <c r="C4">
        <v>5565</v>
      </c>
      <c r="D4" s="1">
        <v>3</v>
      </c>
      <c r="E4">
        <v>135.80000000000001</v>
      </c>
      <c r="F4">
        <v>398.61</v>
      </c>
      <c r="G4" s="2">
        <f t="shared" ref="G4:G29" si="0">(E4-F4)/E4</f>
        <v>-1.9352724594992634</v>
      </c>
      <c r="H4" s="1">
        <v>4</v>
      </c>
      <c r="I4">
        <v>287.55</v>
      </c>
      <c r="J4">
        <v>150.66</v>
      </c>
      <c r="K4" s="2">
        <f t="shared" ref="K4:K29" si="1">(I4-J4)/I4</f>
        <v>0.47605633802816905</v>
      </c>
      <c r="L4" s="1">
        <v>3</v>
      </c>
      <c r="M4">
        <v>216.19</v>
      </c>
      <c r="N4">
        <v>271.66000000000003</v>
      </c>
      <c r="O4" s="2">
        <f t="shared" ref="O4:O29" si="2">(M4-N4)/M4</f>
        <v>-0.25657986030806246</v>
      </c>
      <c r="P4" s="1">
        <v>3</v>
      </c>
      <c r="Q4">
        <v>100.81</v>
      </c>
      <c r="R4">
        <v>196</v>
      </c>
      <c r="S4" s="2">
        <f t="shared" ref="S4:S29" si="3">(Q4-R4)/Q4</f>
        <v>-0.9442515623450054</v>
      </c>
    </row>
    <row r="5" spans="1:19" x14ac:dyDescent="0.3">
      <c r="A5" t="s">
        <v>8</v>
      </c>
      <c r="B5" s="1">
        <v>134</v>
      </c>
      <c r="C5">
        <v>5565</v>
      </c>
      <c r="D5" s="1">
        <v>4</v>
      </c>
      <c r="E5">
        <v>417.99</v>
      </c>
      <c r="F5">
        <v>518.80999999999995</v>
      </c>
      <c r="G5" s="2">
        <f t="shared" si="0"/>
        <v>-0.24120194263020631</v>
      </c>
      <c r="H5" s="1">
        <v>4</v>
      </c>
      <c r="I5">
        <v>419.98</v>
      </c>
      <c r="J5">
        <v>443.82</v>
      </c>
      <c r="K5" s="2">
        <f t="shared" si="1"/>
        <v>-5.6764607838468435E-2</v>
      </c>
      <c r="L5" s="1">
        <v>4</v>
      </c>
      <c r="M5">
        <v>263.32</v>
      </c>
      <c r="N5">
        <v>321.10000000000002</v>
      </c>
      <c r="O5" s="2">
        <f t="shared" si="2"/>
        <v>-0.21942883183958692</v>
      </c>
      <c r="P5" s="1">
        <v>4</v>
      </c>
      <c r="Q5">
        <v>197.84</v>
      </c>
      <c r="R5">
        <v>201.71</v>
      </c>
      <c r="S5" s="2">
        <f t="shared" si="3"/>
        <v>-1.9561261625556027E-2</v>
      </c>
    </row>
    <row r="6" spans="1:19" x14ac:dyDescent="0.3">
      <c r="A6" t="s">
        <v>9</v>
      </c>
      <c r="B6" s="1">
        <v>135</v>
      </c>
      <c r="C6">
        <v>5671</v>
      </c>
      <c r="D6" s="1">
        <v>3</v>
      </c>
      <c r="E6">
        <v>35.32</v>
      </c>
      <c r="F6">
        <v>25.98</v>
      </c>
      <c r="G6" s="2">
        <f t="shared" si="0"/>
        <v>0.26443941109852775</v>
      </c>
      <c r="H6" s="1">
        <v>2</v>
      </c>
      <c r="I6">
        <v>21.66</v>
      </c>
      <c r="J6">
        <v>28.31</v>
      </c>
      <c r="K6" s="2">
        <f t="shared" si="1"/>
        <v>-0.30701754385964908</v>
      </c>
      <c r="L6" s="1">
        <v>4</v>
      </c>
      <c r="M6">
        <v>21.6</v>
      </c>
      <c r="N6">
        <v>24.52</v>
      </c>
      <c r="O6" s="2">
        <f t="shared" si="2"/>
        <v>-0.1351851851851851</v>
      </c>
      <c r="P6" s="1">
        <v>3</v>
      </c>
      <c r="Q6">
        <v>23.66</v>
      </c>
      <c r="R6">
        <v>22.82</v>
      </c>
      <c r="S6" s="2">
        <f t="shared" si="3"/>
        <v>3.5502958579881651E-2</v>
      </c>
    </row>
    <row r="7" spans="1:19" x14ac:dyDescent="0.3">
      <c r="A7" t="s">
        <v>10</v>
      </c>
      <c r="B7" s="1">
        <v>135</v>
      </c>
      <c r="C7">
        <v>5671</v>
      </c>
      <c r="D7" s="1">
        <v>3</v>
      </c>
      <c r="E7">
        <v>97.25</v>
      </c>
      <c r="F7">
        <v>117.15</v>
      </c>
      <c r="G7" s="2">
        <f t="shared" si="0"/>
        <v>-0.20462724935732654</v>
      </c>
      <c r="H7" s="1">
        <v>4</v>
      </c>
      <c r="I7">
        <v>53.31</v>
      </c>
      <c r="J7">
        <v>49</v>
      </c>
      <c r="K7" s="2">
        <f t="shared" si="1"/>
        <v>8.0847870943537833E-2</v>
      </c>
      <c r="L7" s="1">
        <v>4</v>
      </c>
      <c r="M7">
        <v>100.25</v>
      </c>
      <c r="N7">
        <v>93.56</v>
      </c>
      <c r="O7" s="2">
        <f t="shared" si="2"/>
        <v>6.6733167082294237E-2</v>
      </c>
      <c r="P7" s="1">
        <v>3</v>
      </c>
      <c r="Q7">
        <v>114.55</v>
      </c>
      <c r="R7">
        <v>107.64</v>
      </c>
      <c r="S7" s="2">
        <f t="shared" si="3"/>
        <v>6.0323003055434282E-2</v>
      </c>
    </row>
    <row r="8" spans="1:19" x14ac:dyDescent="0.3">
      <c r="A8" t="s">
        <v>11</v>
      </c>
      <c r="B8" s="1">
        <v>104</v>
      </c>
      <c r="C8">
        <v>2850</v>
      </c>
      <c r="D8" s="1">
        <v>1</v>
      </c>
      <c r="E8">
        <v>58.23</v>
      </c>
      <c r="F8">
        <v>58.23</v>
      </c>
      <c r="G8" s="2">
        <f t="shared" si="0"/>
        <v>0</v>
      </c>
      <c r="H8" s="1">
        <v>1</v>
      </c>
      <c r="I8">
        <v>48.98</v>
      </c>
      <c r="J8">
        <v>48.98</v>
      </c>
      <c r="K8" s="2">
        <f t="shared" si="1"/>
        <v>0</v>
      </c>
      <c r="L8" s="1">
        <v>2</v>
      </c>
      <c r="M8">
        <v>47.03</v>
      </c>
      <c r="N8">
        <v>55.86</v>
      </c>
      <c r="O8" s="2">
        <f t="shared" si="2"/>
        <v>-0.18775249840527319</v>
      </c>
      <c r="P8" s="1">
        <v>1</v>
      </c>
      <c r="Q8">
        <v>62.75</v>
      </c>
      <c r="R8">
        <v>62.75</v>
      </c>
      <c r="S8" s="2">
        <f t="shared" si="3"/>
        <v>0</v>
      </c>
    </row>
    <row r="9" spans="1:19" x14ac:dyDescent="0.3">
      <c r="A9" t="s">
        <v>12</v>
      </c>
      <c r="B9" s="1">
        <v>133</v>
      </c>
      <c r="C9">
        <v>5460</v>
      </c>
      <c r="D9" s="1">
        <v>1</v>
      </c>
      <c r="E9">
        <v>217.61</v>
      </c>
      <c r="F9">
        <v>217.61</v>
      </c>
      <c r="G9" s="2">
        <f t="shared" si="0"/>
        <v>0</v>
      </c>
      <c r="H9" s="1">
        <v>2</v>
      </c>
      <c r="I9">
        <v>204.46</v>
      </c>
      <c r="J9">
        <v>203</v>
      </c>
      <c r="K9" s="2">
        <f t="shared" si="1"/>
        <v>7.1407610290521763E-3</v>
      </c>
      <c r="L9" s="1">
        <v>1</v>
      </c>
      <c r="M9">
        <v>209.62</v>
      </c>
      <c r="N9">
        <v>209.62</v>
      </c>
      <c r="O9" s="2">
        <f t="shared" si="2"/>
        <v>0</v>
      </c>
      <c r="P9" s="1">
        <v>3</v>
      </c>
      <c r="Q9">
        <v>313.58</v>
      </c>
      <c r="R9">
        <v>346.78</v>
      </c>
      <c r="S9" s="2">
        <f t="shared" si="3"/>
        <v>-0.10587409911346383</v>
      </c>
    </row>
    <row r="10" spans="1:19" x14ac:dyDescent="0.3">
      <c r="A10" t="s">
        <v>13</v>
      </c>
      <c r="B10" s="1">
        <v>134</v>
      </c>
      <c r="C10">
        <v>5565</v>
      </c>
      <c r="D10" s="1">
        <v>2</v>
      </c>
      <c r="E10">
        <v>137.88999999999999</v>
      </c>
      <c r="F10">
        <v>223.68</v>
      </c>
      <c r="G10" s="2">
        <f t="shared" si="0"/>
        <v>-0.62216259337152824</v>
      </c>
      <c r="H10" s="1">
        <v>3</v>
      </c>
      <c r="I10">
        <v>112.71</v>
      </c>
      <c r="J10">
        <v>112.88</v>
      </c>
      <c r="K10" s="2">
        <f t="shared" si="1"/>
        <v>-1.5082956259427E-3</v>
      </c>
      <c r="L10" s="1">
        <v>2</v>
      </c>
      <c r="M10">
        <v>214.68</v>
      </c>
      <c r="N10">
        <v>214.88</v>
      </c>
      <c r="O10" s="2">
        <f t="shared" si="2"/>
        <v>-9.3161915408975513E-4</v>
      </c>
      <c r="P10" s="1">
        <v>1</v>
      </c>
      <c r="Q10">
        <v>390.55</v>
      </c>
      <c r="R10">
        <v>390.55</v>
      </c>
      <c r="S10" s="2">
        <f t="shared" si="3"/>
        <v>0</v>
      </c>
    </row>
    <row r="11" spans="1:19" x14ac:dyDescent="0.3">
      <c r="A11" t="s">
        <v>14</v>
      </c>
      <c r="B11" s="1">
        <v>143</v>
      </c>
      <c r="C11">
        <v>6555</v>
      </c>
      <c r="D11" s="1">
        <v>2</v>
      </c>
      <c r="E11">
        <v>161.82</v>
      </c>
      <c r="F11">
        <v>276</v>
      </c>
      <c r="G11" s="2">
        <f t="shared" si="0"/>
        <v>-0.70559881349647768</v>
      </c>
      <c r="H11" s="1">
        <v>4</v>
      </c>
      <c r="I11">
        <v>173.39</v>
      </c>
      <c r="J11">
        <v>337.92</v>
      </c>
      <c r="K11" s="2">
        <f t="shared" si="1"/>
        <v>-0.94890132072207189</v>
      </c>
      <c r="L11" s="1">
        <v>1</v>
      </c>
      <c r="M11">
        <v>266.25</v>
      </c>
      <c r="N11">
        <v>266.25</v>
      </c>
      <c r="O11" s="2">
        <f t="shared" si="2"/>
        <v>0</v>
      </c>
      <c r="P11" s="1">
        <v>1</v>
      </c>
      <c r="Q11">
        <v>350.71</v>
      </c>
      <c r="R11">
        <v>350.71</v>
      </c>
      <c r="S11" s="2">
        <f t="shared" si="3"/>
        <v>0</v>
      </c>
    </row>
    <row r="12" spans="1:19" x14ac:dyDescent="0.3">
      <c r="A12" t="s">
        <v>15</v>
      </c>
      <c r="B12" s="1">
        <v>134</v>
      </c>
      <c r="C12">
        <v>5565</v>
      </c>
      <c r="D12" s="1">
        <v>4</v>
      </c>
      <c r="E12">
        <v>76.72</v>
      </c>
      <c r="F12">
        <v>61.4</v>
      </c>
      <c r="G12" s="2">
        <f t="shared" si="0"/>
        <v>0.19968717413972889</v>
      </c>
      <c r="H12" s="1">
        <v>4</v>
      </c>
      <c r="I12">
        <v>117.13</v>
      </c>
      <c r="J12">
        <v>81.819999999999993</v>
      </c>
      <c r="K12" s="2">
        <f t="shared" si="1"/>
        <v>0.30145991633228042</v>
      </c>
      <c r="L12" s="1">
        <v>2</v>
      </c>
      <c r="M12">
        <v>79.03</v>
      </c>
      <c r="N12">
        <v>94.83</v>
      </c>
      <c r="O12" s="2">
        <f t="shared" si="2"/>
        <v>-0.19992407946349483</v>
      </c>
      <c r="P12" s="1">
        <v>3</v>
      </c>
      <c r="Q12">
        <v>59.22</v>
      </c>
      <c r="R12">
        <v>58.07</v>
      </c>
      <c r="S12" s="2">
        <f t="shared" si="3"/>
        <v>1.9419115163795991E-2</v>
      </c>
    </row>
    <row r="13" spans="1:19" x14ac:dyDescent="0.3">
      <c r="A13" t="s">
        <v>16</v>
      </c>
      <c r="B13" s="1">
        <v>134</v>
      </c>
      <c r="C13">
        <v>5565</v>
      </c>
      <c r="D13" s="1">
        <v>4</v>
      </c>
      <c r="E13">
        <v>549.38</v>
      </c>
      <c r="F13">
        <v>535.45000000000005</v>
      </c>
      <c r="G13" s="2">
        <f t="shared" si="0"/>
        <v>2.5355855691870745E-2</v>
      </c>
      <c r="H13" s="1">
        <v>2</v>
      </c>
      <c r="I13">
        <v>380.27</v>
      </c>
      <c r="J13">
        <v>387.82</v>
      </c>
      <c r="K13" s="2">
        <f t="shared" si="1"/>
        <v>-1.9854314040024225E-2</v>
      </c>
      <c r="L13" s="1">
        <v>3</v>
      </c>
      <c r="M13">
        <v>403.72</v>
      </c>
      <c r="N13">
        <v>403.32</v>
      </c>
      <c r="O13" s="2">
        <f t="shared" si="2"/>
        <v>9.9078569305467669E-4</v>
      </c>
      <c r="P13" s="1">
        <v>4</v>
      </c>
      <c r="Q13">
        <v>446.91</v>
      </c>
      <c r="R13">
        <v>481.23</v>
      </c>
      <c r="S13" s="2">
        <f t="shared" si="3"/>
        <v>-7.6793985366181094E-2</v>
      </c>
    </row>
    <row r="14" spans="1:19" x14ac:dyDescent="0.3">
      <c r="A14" t="s">
        <v>17</v>
      </c>
      <c r="B14" s="1">
        <v>134</v>
      </c>
      <c r="C14">
        <v>5565</v>
      </c>
      <c r="D14" s="1">
        <v>3</v>
      </c>
      <c r="E14">
        <v>660.57</v>
      </c>
      <c r="F14">
        <v>599.97</v>
      </c>
      <c r="G14" s="2">
        <f t="shared" si="0"/>
        <v>9.1738952722648648E-2</v>
      </c>
      <c r="H14" s="1">
        <v>4</v>
      </c>
      <c r="I14">
        <v>535.74</v>
      </c>
      <c r="J14">
        <v>713.36</v>
      </c>
      <c r="K14" s="2">
        <f t="shared" si="1"/>
        <v>-0.33154141934520476</v>
      </c>
      <c r="L14" s="1">
        <v>4</v>
      </c>
      <c r="M14">
        <v>532.9</v>
      </c>
      <c r="N14">
        <v>636.99</v>
      </c>
      <c r="O14" s="2">
        <f t="shared" si="2"/>
        <v>-0.19532745355601433</v>
      </c>
      <c r="P14" s="1">
        <v>4</v>
      </c>
      <c r="Q14">
        <v>665.09</v>
      </c>
      <c r="R14">
        <v>834.21</v>
      </c>
      <c r="S14" s="2">
        <f t="shared" si="3"/>
        <v>-0.25428137545294621</v>
      </c>
    </row>
    <row r="15" spans="1:19" x14ac:dyDescent="0.3">
      <c r="A15" t="s">
        <v>18</v>
      </c>
      <c r="B15" s="1">
        <v>144</v>
      </c>
      <c r="C15">
        <v>6670</v>
      </c>
      <c r="D15" s="1">
        <v>4</v>
      </c>
      <c r="E15">
        <v>325.35000000000002</v>
      </c>
      <c r="F15">
        <v>331.31</v>
      </c>
      <c r="G15" s="2">
        <f t="shared" si="0"/>
        <v>-1.8318733671430703E-2</v>
      </c>
      <c r="H15" s="1">
        <v>3</v>
      </c>
      <c r="I15">
        <v>385.49</v>
      </c>
      <c r="J15">
        <v>190.09</v>
      </c>
      <c r="K15" s="2">
        <f t="shared" si="1"/>
        <v>0.50688733819294929</v>
      </c>
      <c r="L15" s="1">
        <v>4</v>
      </c>
      <c r="M15">
        <v>370.41</v>
      </c>
      <c r="N15">
        <v>418.18</v>
      </c>
      <c r="O15" s="2">
        <f t="shared" si="2"/>
        <v>-0.12896520072352252</v>
      </c>
      <c r="P15" s="1">
        <v>3</v>
      </c>
      <c r="Q15">
        <v>238.58</v>
      </c>
      <c r="R15">
        <v>240.97</v>
      </c>
      <c r="S15" s="2">
        <f t="shared" si="3"/>
        <v>-1.0017604157934387E-2</v>
      </c>
    </row>
    <row r="16" spans="1:19" x14ac:dyDescent="0.3">
      <c r="A16" t="s">
        <v>19</v>
      </c>
      <c r="B16" s="1">
        <v>144</v>
      </c>
      <c r="C16">
        <v>6670</v>
      </c>
      <c r="D16" s="1">
        <v>2</v>
      </c>
      <c r="E16">
        <v>647.42999999999995</v>
      </c>
      <c r="F16">
        <v>424.42</v>
      </c>
      <c r="G16" s="2">
        <f t="shared" si="0"/>
        <v>0.34445422671176801</v>
      </c>
      <c r="H16" s="1">
        <v>2</v>
      </c>
      <c r="I16">
        <v>535.45000000000005</v>
      </c>
      <c r="J16">
        <v>694.38</v>
      </c>
      <c r="K16" s="2">
        <f t="shared" si="1"/>
        <v>-0.296815762442805</v>
      </c>
      <c r="L16" s="1">
        <v>2</v>
      </c>
      <c r="M16">
        <v>590.75</v>
      </c>
      <c r="N16">
        <v>629.79999999999995</v>
      </c>
      <c r="O16" s="2">
        <f t="shared" si="2"/>
        <v>-6.610241218789667E-2</v>
      </c>
      <c r="P16" s="1">
        <v>2</v>
      </c>
      <c r="Q16">
        <v>460.56</v>
      </c>
      <c r="R16">
        <v>678.89</v>
      </c>
      <c r="S16" s="2">
        <f t="shared" si="3"/>
        <v>-0.47405332638527009</v>
      </c>
    </row>
    <row r="17" spans="1:19" x14ac:dyDescent="0.3">
      <c r="A17" t="s">
        <v>20</v>
      </c>
      <c r="B17" s="1">
        <v>144</v>
      </c>
      <c r="C17">
        <v>6670</v>
      </c>
      <c r="D17" s="1">
        <v>5</v>
      </c>
      <c r="E17">
        <v>141.61000000000001</v>
      </c>
      <c r="F17">
        <v>144.63999999999999</v>
      </c>
      <c r="G17" s="2">
        <f t="shared" si="0"/>
        <v>-2.1396794011722141E-2</v>
      </c>
      <c r="H17" s="1">
        <v>5</v>
      </c>
      <c r="I17">
        <v>290.98</v>
      </c>
      <c r="J17">
        <v>190.9</v>
      </c>
      <c r="K17" s="2">
        <f t="shared" si="1"/>
        <v>0.34394116434119187</v>
      </c>
      <c r="L17" s="1">
        <v>5</v>
      </c>
      <c r="M17">
        <v>128.77000000000001</v>
      </c>
      <c r="N17">
        <v>150.94</v>
      </c>
      <c r="O17" s="2">
        <f t="shared" si="2"/>
        <v>-0.17216743030208889</v>
      </c>
      <c r="P17" s="1">
        <v>5</v>
      </c>
      <c r="Q17">
        <v>320.47000000000003</v>
      </c>
      <c r="R17">
        <v>190.2</v>
      </c>
      <c r="S17" s="2">
        <f t="shared" si="3"/>
        <v>0.40649670796018356</v>
      </c>
    </row>
    <row r="18" spans="1:19" x14ac:dyDescent="0.3">
      <c r="A18" t="s">
        <v>21</v>
      </c>
      <c r="B18" s="1">
        <v>132</v>
      </c>
      <c r="C18">
        <v>5356</v>
      </c>
      <c r="D18" s="1">
        <v>2</v>
      </c>
      <c r="E18">
        <v>625.19000000000005</v>
      </c>
      <c r="F18">
        <v>622.89</v>
      </c>
      <c r="G18" s="2">
        <f t="shared" si="0"/>
        <v>3.6788816199876326E-3</v>
      </c>
      <c r="H18" s="1">
        <v>4</v>
      </c>
      <c r="I18">
        <v>430.48</v>
      </c>
      <c r="J18">
        <v>400.31</v>
      </c>
      <c r="K18" s="2">
        <f t="shared" si="1"/>
        <v>7.0084556773833892E-2</v>
      </c>
      <c r="L18" s="1">
        <v>4</v>
      </c>
      <c r="M18">
        <v>532.36</v>
      </c>
      <c r="N18">
        <v>512.98</v>
      </c>
      <c r="O18" s="2">
        <f t="shared" si="2"/>
        <v>3.6403937185363278E-2</v>
      </c>
      <c r="P18" s="1">
        <v>4</v>
      </c>
      <c r="Q18">
        <v>465.52</v>
      </c>
      <c r="R18">
        <v>402.93</v>
      </c>
      <c r="S18" s="2">
        <f t="shared" si="3"/>
        <v>0.13445179584120978</v>
      </c>
    </row>
    <row r="19" spans="1:19" x14ac:dyDescent="0.3">
      <c r="A19" t="s">
        <v>22</v>
      </c>
      <c r="B19" s="1">
        <v>108</v>
      </c>
      <c r="C19">
        <v>3160</v>
      </c>
      <c r="D19" s="1">
        <v>2</v>
      </c>
      <c r="E19">
        <v>66.069999999999993</v>
      </c>
      <c r="F19">
        <v>56.84</v>
      </c>
      <c r="G19" s="2">
        <f t="shared" si="0"/>
        <v>0.13970031784471001</v>
      </c>
      <c r="H19" s="1">
        <v>2</v>
      </c>
      <c r="I19">
        <v>222.15</v>
      </c>
      <c r="J19">
        <v>223.23</v>
      </c>
      <c r="K19" s="2">
        <f t="shared" si="1"/>
        <v>-4.8615800135043174E-3</v>
      </c>
      <c r="L19" s="1">
        <v>3</v>
      </c>
      <c r="M19">
        <v>175.68</v>
      </c>
      <c r="N19">
        <v>181.98</v>
      </c>
      <c r="O19" s="2">
        <f t="shared" si="2"/>
        <v>-3.5860655737704819E-2</v>
      </c>
      <c r="P19" s="1">
        <v>3</v>
      </c>
      <c r="Q19">
        <v>134.55000000000001</v>
      </c>
      <c r="R19">
        <v>150.6</v>
      </c>
      <c r="S19" s="2">
        <f t="shared" si="3"/>
        <v>-0.11928651059085828</v>
      </c>
    </row>
    <row r="20" spans="1:19" x14ac:dyDescent="0.3">
      <c r="A20" t="s">
        <v>23</v>
      </c>
      <c r="B20" s="1">
        <v>134</v>
      </c>
      <c r="C20">
        <v>5565</v>
      </c>
      <c r="D20" s="1">
        <v>2</v>
      </c>
      <c r="E20">
        <v>1034.7</v>
      </c>
      <c r="F20">
        <v>1021.93</v>
      </c>
      <c r="G20" s="2">
        <f t="shared" si="0"/>
        <v>1.2341741567604229E-2</v>
      </c>
      <c r="H20" s="1">
        <v>3</v>
      </c>
      <c r="I20">
        <v>794.13</v>
      </c>
      <c r="J20">
        <v>723.53</v>
      </c>
      <c r="K20" s="2">
        <f t="shared" si="1"/>
        <v>8.8902320778713836E-2</v>
      </c>
      <c r="L20" s="1">
        <v>3</v>
      </c>
      <c r="M20">
        <v>936.42</v>
      </c>
      <c r="N20">
        <v>892</v>
      </c>
      <c r="O20" s="2">
        <f t="shared" si="2"/>
        <v>4.743597958181154E-2</v>
      </c>
      <c r="P20" s="1">
        <v>2</v>
      </c>
      <c r="Q20">
        <v>1072.45</v>
      </c>
      <c r="R20">
        <v>1053.19</v>
      </c>
      <c r="S20" s="2">
        <f t="shared" si="3"/>
        <v>1.7958879201827583E-2</v>
      </c>
    </row>
    <row r="21" spans="1:19" x14ac:dyDescent="0.3">
      <c r="A21" t="s">
        <v>24</v>
      </c>
      <c r="B21" s="1">
        <v>134</v>
      </c>
      <c r="C21">
        <v>5565</v>
      </c>
      <c r="D21" s="1">
        <v>4</v>
      </c>
      <c r="E21">
        <v>1085.9000000000001</v>
      </c>
      <c r="F21">
        <v>922.89</v>
      </c>
      <c r="G21" s="2">
        <f t="shared" si="0"/>
        <v>0.15011511188875595</v>
      </c>
      <c r="H21" s="1">
        <v>3</v>
      </c>
      <c r="I21">
        <v>691.57</v>
      </c>
      <c r="J21">
        <v>734.39</v>
      </c>
      <c r="K21" s="2">
        <f t="shared" si="1"/>
        <v>-6.1917087207368646E-2</v>
      </c>
      <c r="L21" s="1">
        <v>3</v>
      </c>
      <c r="M21">
        <v>759.72</v>
      </c>
      <c r="N21">
        <v>762.95</v>
      </c>
      <c r="O21" s="2">
        <f t="shared" si="2"/>
        <v>-4.2515663665561232E-3</v>
      </c>
      <c r="P21" s="1">
        <v>3</v>
      </c>
      <c r="Q21">
        <v>749.54</v>
      </c>
      <c r="R21">
        <v>1569.16</v>
      </c>
      <c r="S21" s="2">
        <f t="shared" si="3"/>
        <v>-1.0934973450382903</v>
      </c>
    </row>
    <row r="22" spans="1:19" x14ac:dyDescent="0.3">
      <c r="A22" t="s">
        <v>25</v>
      </c>
      <c r="B22" s="1">
        <v>134</v>
      </c>
      <c r="C22">
        <v>5565</v>
      </c>
      <c r="D22" s="1">
        <v>5</v>
      </c>
      <c r="E22">
        <v>310.39</v>
      </c>
      <c r="F22">
        <v>550.72</v>
      </c>
      <c r="G22" s="2">
        <f t="shared" si="0"/>
        <v>-0.77428396533393484</v>
      </c>
      <c r="H22" s="1">
        <v>4</v>
      </c>
      <c r="I22">
        <v>328.87</v>
      </c>
      <c r="J22">
        <v>257.05</v>
      </c>
      <c r="K22" s="2">
        <f t="shared" si="1"/>
        <v>0.21838416395536228</v>
      </c>
      <c r="L22" s="1">
        <v>4</v>
      </c>
      <c r="M22">
        <v>364.1</v>
      </c>
      <c r="N22">
        <v>402.97</v>
      </c>
      <c r="O22" s="2">
        <f t="shared" si="2"/>
        <v>-0.10675638560834937</v>
      </c>
      <c r="P22" s="1">
        <v>4</v>
      </c>
      <c r="Q22">
        <v>393.43</v>
      </c>
      <c r="R22">
        <v>395.92</v>
      </c>
      <c r="S22" s="2">
        <f t="shared" si="3"/>
        <v>-6.3289530539105028E-3</v>
      </c>
    </row>
    <row r="23" spans="1:19" x14ac:dyDescent="0.3">
      <c r="A23" t="s">
        <v>26</v>
      </c>
      <c r="B23" s="1">
        <v>126</v>
      </c>
      <c r="C23">
        <v>4753</v>
      </c>
      <c r="D23" s="1">
        <v>4</v>
      </c>
      <c r="E23">
        <v>293.47000000000003</v>
      </c>
      <c r="F23">
        <v>194.01</v>
      </c>
      <c r="G23" s="2">
        <f t="shared" si="0"/>
        <v>0.33891028043752353</v>
      </c>
      <c r="H23" s="1">
        <v>3</v>
      </c>
      <c r="I23">
        <v>162.19999999999999</v>
      </c>
      <c r="J23">
        <v>168.48</v>
      </c>
      <c r="K23" s="2">
        <f t="shared" si="1"/>
        <v>-3.871763255240445E-2</v>
      </c>
      <c r="L23" s="1">
        <v>3</v>
      </c>
      <c r="M23">
        <v>162.11000000000001</v>
      </c>
      <c r="N23">
        <v>158.32</v>
      </c>
      <c r="O23" s="2">
        <f t="shared" si="2"/>
        <v>2.337918697180939E-2</v>
      </c>
      <c r="P23" s="1">
        <v>4</v>
      </c>
      <c r="Q23">
        <v>252.99</v>
      </c>
      <c r="R23">
        <v>155.97999999999999</v>
      </c>
      <c r="S23" s="2">
        <f t="shared" si="3"/>
        <v>0.38345389145816045</v>
      </c>
    </row>
    <row r="24" spans="1:19" x14ac:dyDescent="0.3">
      <c r="A24" t="s">
        <v>27</v>
      </c>
      <c r="B24" s="1">
        <v>126</v>
      </c>
      <c r="C24">
        <v>4753</v>
      </c>
      <c r="D24" s="1">
        <v>3</v>
      </c>
      <c r="E24">
        <v>1724.81</v>
      </c>
      <c r="F24">
        <v>943</v>
      </c>
      <c r="G24" s="2">
        <f t="shared" si="0"/>
        <v>0.45327311414010818</v>
      </c>
      <c r="H24" s="1">
        <v>1</v>
      </c>
      <c r="I24">
        <v>966.84</v>
      </c>
      <c r="J24">
        <v>966.84</v>
      </c>
      <c r="K24" s="2">
        <f t="shared" si="1"/>
        <v>0</v>
      </c>
      <c r="L24" s="1">
        <v>2</v>
      </c>
      <c r="M24">
        <v>972.91</v>
      </c>
      <c r="N24">
        <v>951.83</v>
      </c>
      <c r="O24" s="2">
        <f t="shared" si="2"/>
        <v>2.1666957889218866E-2</v>
      </c>
      <c r="P24" s="1">
        <v>3</v>
      </c>
      <c r="Q24">
        <v>833.36</v>
      </c>
      <c r="R24">
        <v>918.68</v>
      </c>
      <c r="S24" s="2">
        <f t="shared" si="3"/>
        <v>-0.10238072381683778</v>
      </c>
    </row>
    <row r="25" spans="1:19" x14ac:dyDescent="0.3">
      <c r="A25" t="s">
        <v>28</v>
      </c>
      <c r="B25" s="1">
        <v>126</v>
      </c>
      <c r="C25">
        <v>4753</v>
      </c>
      <c r="D25" s="1">
        <v>2</v>
      </c>
      <c r="E25">
        <v>690.51</v>
      </c>
      <c r="F25">
        <v>1045.06</v>
      </c>
      <c r="G25" s="2">
        <f t="shared" si="0"/>
        <v>-0.51346106500992017</v>
      </c>
      <c r="H25" s="1">
        <v>2</v>
      </c>
      <c r="I25">
        <v>1075.17</v>
      </c>
      <c r="J25">
        <v>1075.7</v>
      </c>
      <c r="K25" s="2">
        <f t="shared" si="1"/>
        <v>-4.9294530167319831E-4</v>
      </c>
      <c r="L25" s="1">
        <v>2</v>
      </c>
      <c r="M25">
        <v>1214.17</v>
      </c>
      <c r="N25">
        <v>1157.6400000000001</v>
      </c>
      <c r="O25" s="2">
        <f t="shared" si="2"/>
        <v>4.6558554403419591E-2</v>
      </c>
      <c r="P25" s="1">
        <v>2</v>
      </c>
      <c r="Q25">
        <v>1538.73</v>
      </c>
      <c r="R25">
        <v>1557.38</v>
      </c>
      <c r="S25" s="2">
        <f t="shared" si="3"/>
        <v>-1.2120384992818813E-2</v>
      </c>
    </row>
    <row r="26" spans="1:19" x14ac:dyDescent="0.3">
      <c r="A26" t="s">
        <v>29</v>
      </c>
      <c r="B26" s="1">
        <v>126</v>
      </c>
      <c r="C26">
        <v>4753</v>
      </c>
      <c r="D26" s="1">
        <v>3</v>
      </c>
      <c r="E26">
        <v>804.53</v>
      </c>
      <c r="F26">
        <v>181.95</v>
      </c>
      <c r="G26" s="2">
        <f t="shared" si="0"/>
        <v>0.77384311337053924</v>
      </c>
      <c r="H26" s="1">
        <v>1</v>
      </c>
      <c r="I26">
        <v>162.21</v>
      </c>
      <c r="J26">
        <v>162.21</v>
      </c>
      <c r="K26" s="2">
        <f t="shared" si="1"/>
        <v>0</v>
      </c>
      <c r="L26" s="1">
        <v>1</v>
      </c>
      <c r="M26">
        <v>135.29</v>
      </c>
      <c r="N26">
        <v>135.29</v>
      </c>
      <c r="O26" s="2">
        <f t="shared" si="2"/>
        <v>0</v>
      </c>
      <c r="P26" s="1">
        <v>2</v>
      </c>
      <c r="Q26">
        <v>147.49</v>
      </c>
      <c r="R26">
        <v>155.36000000000001</v>
      </c>
      <c r="S26" s="2">
        <f t="shared" si="3"/>
        <v>-5.3359549799986465E-2</v>
      </c>
    </row>
    <row r="27" spans="1:19" x14ac:dyDescent="0.3">
      <c r="A27" t="s">
        <v>30</v>
      </c>
      <c r="B27" s="1">
        <v>126</v>
      </c>
      <c r="C27">
        <v>4753</v>
      </c>
      <c r="D27" s="1">
        <v>2</v>
      </c>
      <c r="E27">
        <v>388.68</v>
      </c>
      <c r="F27">
        <v>270.05</v>
      </c>
      <c r="G27" s="2">
        <f t="shared" si="0"/>
        <v>0.30521251415045797</v>
      </c>
      <c r="H27" s="1">
        <v>2</v>
      </c>
      <c r="I27">
        <v>274.35000000000002</v>
      </c>
      <c r="J27">
        <v>257.14999999999998</v>
      </c>
      <c r="K27" s="2">
        <f t="shared" si="1"/>
        <v>6.2693639511572974E-2</v>
      </c>
      <c r="L27" s="1">
        <v>2</v>
      </c>
      <c r="M27">
        <v>299.61</v>
      </c>
      <c r="N27">
        <v>257.49</v>
      </c>
      <c r="O27" s="2">
        <f t="shared" si="2"/>
        <v>0.14058275758486033</v>
      </c>
      <c r="P27" s="1">
        <v>2</v>
      </c>
      <c r="Q27">
        <v>228.01</v>
      </c>
      <c r="R27">
        <v>263.39</v>
      </c>
      <c r="S27" s="2">
        <f t="shared" si="3"/>
        <v>-0.15516863295469496</v>
      </c>
    </row>
    <row r="28" spans="1:19" x14ac:dyDescent="0.3">
      <c r="A28" t="s">
        <v>31</v>
      </c>
      <c r="B28" s="1">
        <v>120</v>
      </c>
      <c r="C28">
        <v>4186</v>
      </c>
      <c r="D28" s="1">
        <v>3</v>
      </c>
      <c r="E28">
        <v>553.70000000000005</v>
      </c>
      <c r="F28">
        <v>431.64</v>
      </c>
      <c r="G28" s="2">
        <f t="shared" si="0"/>
        <v>0.22044428390825366</v>
      </c>
      <c r="H28" s="1">
        <v>2</v>
      </c>
      <c r="I28">
        <v>496.29</v>
      </c>
      <c r="J28">
        <v>439.29</v>
      </c>
      <c r="K28" s="2">
        <f t="shared" si="1"/>
        <v>0.11485220334884845</v>
      </c>
      <c r="L28" s="1">
        <v>2</v>
      </c>
      <c r="M28">
        <v>457.2</v>
      </c>
      <c r="N28">
        <v>451.74</v>
      </c>
      <c r="O28" s="2">
        <f t="shared" si="2"/>
        <v>1.1942257217847724E-2</v>
      </c>
      <c r="P28" s="1">
        <v>2</v>
      </c>
      <c r="Q28">
        <v>423.86</v>
      </c>
      <c r="R28">
        <v>537.20000000000005</v>
      </c>
      <c r="S28" s="2">
        <f t="shared" si="3"/>
        <v>-0.26739961307979054</v>
      </c>
    </row>
    <row r="29" spans="1:19" x14ac:dyDescent="0.3">
      <c r="A29" t="s">
        <v>32</v>
      </c>
      <c r="B29" s="1">
        <v>120</v>
      </c>
      <c r="C29">
        <v>4186</v>
      </c>
      <c r="D29" s="1">
        <v>4</v>
      </c>
      <c r="E29">
        <v>1469.83</v>
      </c>
      <c r="F29">
        <v>1688.17</v>
      </c>
      <c r="G29" s="2">
        <f t="shared" si="0"/>
        <v>-0.14854779124116405</v>
      </c>
      <c r="H29" s="1">
        <v>2</v>
      </c>
      <c r="I29">
        <v>1848.23</v>
      </c>
      <c r="J29">
        <v>1955.87</v>
      </c>
      <c r="K29" s="2">
        <f t="shared" si="1"/>
        <v>-5.8239504823533801E-2</v>
      </c>
      <c r="L29" s="1">
        <v>3</v>
      </c>
      <c r="M29">
        <v>1718.44</v>
      </c>
      <c r="N29">
        <v>1689.57</v>
      </c>
      <c r="O29" s="2">
        <f t="shared" si="2"/>
        <v>1.6800121040013102E-2</v>
      </c>
      <c r="P29" s="1">
        <v>3</v>
      </c>
      <c r="Q29">
        <v>1705.5</v>
      </c>
      <c r="R29">
        <v>1850.01</v>
      </c>
      <c r="S29" s="2">
        <f t="shared" si="3"/>
        <v>-8.4731750219876861E-2</v>
      </c>
    </row>
    <row r="31" spans="1:19" x14ac:dyDescent="0.3">
      <c r="A31" t="s">
        <v>37</v>
      </c>
      <c r="G31">
        <f>MEDIAN(G3:G29)</f>
        <v>1.2341741567604229E-2</v>
      </c>
      <c r="K31">
        <f>MEDIAN(K3:K29)</f>
        <v>0</v>
      </c>
      <c r="O31">
        <f>MEDIAN(O3:O29)</f>
        <v>-9.3161915408975513E-4</v>
      </c>
      <c r="S31">
        <f>MEDIAN(S3:S29)</f>
        <v>-1.9561261625556027E-2</v>
      </c>
    </row>
    <row r="32" spans="1:19" x14ac:dyDescent="0.3">
      <c r="A32" t="s">
        <v>38</v>
      </c>
      <c r="G32">
        <f>AVERAGE(G3:G29)</f>
        <v>-4.682181448683554E-2</v>
      </c>
      <c r="K32">
        <f>AVERAGE(K3:K29)</f>
        <v>5.356231831957832E-3</v>
      </c>
      <c r="O32">
        <f>AVERAGE(O3:O29)</f>
        <v>-5.0806290772549959E-2</v>
      </c>
      <c r="S32">
        <f>AVERAGE(S3:S29)</f>
        <v>-0.10231846082934994</v>
      </c>
    </row>
    <row r="33" spans="1:19" x14ac:dyDescent="0.3">
      <c r="A33" t="s">
        <v>39</v>
      </c>
    </row>
    <row r="35" spans="1:19" x14ac:dyDescent="0.3">
      <c r="A35" t="s">
        <v>40</v>
      </c>
      <c r="B35">
        <v>122</v>
      </c>
      <c r="C35">
        <v>4371</v>
      </c>
      <c r="D35">
        <v>3</v>
      </c>
      <c r="E35">
        <v>802.14</v>
      </c>
      <c r="F35">
        <v>732.44</v>
      </c>
      <c r="G35" s="2">
        <f t="shared" ref="G35:G64" si="4">(E35-F35)/E35</f>
        <v>8.6892562395591705E-2</v>
      </c>
      <c r="H35">
        <v>3</v>
      </c>
      <c r="I35">
        <v>892.66</v>
      </c>
      <c r="J35">
        <v>900.47</v>
      </c>
      <c r="K35" s="2">
        <f t="shared" ref="K35:K64" si="5">(I35-J35)/I35</f>
        <v>-8.7491318083033395E-3</v>
      </c>
      <c r="L35">
        <v>4</v>
      </c>
      <c r="M35">
        <v>784.06</v>
      </c>
      <c r="N35">
        <v>883.28</v>
      </c>
      <c r="O35" s="2">
        <f t="shared" ref="O35:O64" si="6">(M35-N35)/M35</f>
        <v>-0.12654643777261948</v>
      </c>
      <c r="P35">
        <v>3</v>
      </c>
      <c r="Q35">
        <v>824.07</v>
      </c>
      <c r="R35">
        <v>812.72</v>
      </c>
      <c r="S35" s="2">
        <f t="shared" ref="S35:S64" si="7">(Q35-R35)/Q35</f>
        <v>1.3773101799604429E-2</v>
      </c>
    </row>
    <row r="36" spans="1:19" x14ac:dyDescent="0.3">
      <c r="A36" t="s">
        <v>41</v>
      </c>
      <c r="B36">
        <v>115</v>
      </c>
      <c r="C36">
        <v>3741</v>
      </c>
      <c r="D36">
        <v>4</v>
      </c>
      <c r="E36">
        <v>105.53</v>
      </c>
      <c r="F36">
        <v>92.98</v>
      </c>
      <c r="G36" s="2">
        <f t="shared" si="4"/>
        <v>0.11892352885435419</v>
      </c>
      <c r="H36">
        <v>3</v>
      </c>
      <c r="I36">
        <v>92.55</v>
      </c>
      <c r="J36">
        <v>93.63</v>
      </c>
      <c r="K36" s="2">
        <f t="shared" si="5"/>
        <v>-1.1669367909238232E-2</v>
      </c>
      <c r="L36">
        <v>3</v>
      </c>
      <c r="M36">
        <v>79.88</v>
      </c>
      <c r="N36">
        <v>89.49</v>
      </c>
      <c r="O36" s="2">
        <f t="shared" si="6"/>
        <v>-0.12030545818728092</v>
      </c>
      <c r="P36">
        <v>4</v>
      </c>
      <c r="Q36">
        <v>51.59</v>
      </c>
      <c r="R36">
        <v>52.57</v>
      </c>
      <c r="S36" s="2">
        <f t="shared" si="7"/>
        <v>-1.8995929443690576E-2</v>
      </c>
    </row>
    <row r="37" spans="1:19" x14ac:dyDescent="0.3">
      <c r="A37" t="s">
        <v>42</v>
      </c>
      <c r="B37">
        <v>150</v>
      </c>
      <c r="C37">
        <v>7381</v>
      </c>
      <c r="D37">
        <v>4</v>
      </c>
      <c r="E37">
        <v>2634.65</v>
      </c>
      <c r="F37">
        <v>2425.92</v>
      </c>
      <c r="G37" s="2">
        <f t="shared" si="4"/>
        <v>7.922494448978043E-2</v>
      </c>
      <c r="H37">
        <v>4</v>
      </c>
      <c r="I37">
        <v>2731.68</v>
      </c>
      <c r="J37">
        <v>2600.89</v>
      </c>
      <c r="K37" s="2">
        <f t="shared" si="5"/>
        <v>4.7878960932466456E-2</v>
      </c>
      <c r="L37">
        <v>4</v>
      </c>
      <c r="M37">
        <v>1719.06</v>
      </c>
      <c r="N37">
        <v>2160.5700000000002</v>
      </c>
      <c r="O37" s="2">
        <f t="shared" si="6"/>
        <v>-0.25683222226100322</v>
      </c>
      <c r="P37">
        <v>4</v>
      </c>
      <c r="Q37">
        <v>1503.07</v>
      </c>
      <c r="R37">
        <v>1536.36</v>
      </c>
      <c r="S37" s="2">
        <f t="shared" si="7"/>
        <v>-2.2148003752320226E-2</v>
      </c>
    </row>
    <row r="38" spans="1:19" x14ac:dyDescent="0.3">
      <c r="A38" t="s">
        <v>43</v>
      </c>
      <c r="B38">
        <v>161</v>
      </c>
      <c r="C38">
        <v>8778</v>
      </c>
      <c r="D38">
        <v>2</v>
      </c>
      <c r="E38">
        <v>704.23</v>
      </c>
      <c r="F38">
        <v>742.45</v>
      </c>
      <c r="G38" s="2">
        <f t="shared" si="4"/>
        <v>-5.4272041804524128E-2</v>
      </c>
      <c r="H38">
        <v>4</v>
      </c>
      <c r="I38">
        <v>541.39</v>
      </c>
      <c r="J38">
        <v>479.01</v>
      </c>
      <c r="K38" s="2">
        <f t="shared" si="5"/>
        <v>0.11522192873898668</v>
      </c>
      <c r="L38">
        <v>3</v>
      </c>
      <c r="M38">
        <v>588.47</v>
      </c>
      <c r="N38">
        <v>488.2</v>
      </c>
      <c r="O38" s="2">
        <f t="shared" si="6"/>
        <v>0.17039101398541986</v>
      </c>
      <c r="P38">
        <v>3</v>
      </c>
      <c r="Q38">
        <v>547.22</v>
      </c>
      <c r="R38">
        <v>607</v>
      </c>
      <c r="S38" s="2">
        <f t="shared" si="7"/>
        <v>-0.10924308322064247</v>
      </c>
    </row>
    <row r="39" spans="1:19" x14ac:dyDescent="0.3">
      <c r="A39" t="s">
        <v>44</v>
      </c>
      <c r="B39">
        <v>184</v>
      </c>
      <c r="C39">
        <v>12090</v>
      </c>
      <c r="D39">
        <v>4</v>
      </c>
      <c r="E39">
        <v>82.47</v>
      </c>
      <c r="F39">
        <v>71.599999999999994</v>
      </c>
      <c r="G39" s="2">
        <f t="shared" si="4"/>
        <v>0.13180550503213295</v>
      </c>
      <c r="H39">
        <v>4</v>
      </c>
      <c r="I39">
        <v>246.92</v>
      </c>
      <c r="J39">
        <v>73.59</v>
      </c>
      <c r="K39" s="2">
        <f t="shared" si="5"/>
        <v>0.70196824882553055</v>
      </c>
      <c r="L39">
        <v>6</v>
      </c>
      <c r="M39">
        <v>93.54</v>
      </c>
      <c r="N39">
        <v>79.66</v>
      </c>
      <c r="O39" s="2">
        <f t="shared" si="6"/>
        <v>0.14838571734017542</v>
      </c>
      <c r="P39">
        <v>2</v>
      </c>
      <c r="Q39">
        <v>66.739999999999995</v>
      </c>
      <c r="R39">
        <v>74.09</v>
      </c>
      <c r="S39" s="2">
        <f t="shared" si="7"/>
        <v>-0.11012885825591863</v>
      </c>
    </row>
    <row r="40" spans="1:19" x14ac:dyDescent="0.3">
      <c r="A40" t="s">
        <v>45</v>
      </c>
      <c r="B40">
        <v>114</v>
      </c>
      <c r="C40">
        <v>3655</v>
      </c>
      <c r="D40">
        <v>2</v>
      </c>
      <c r="E40">
        <v>181.67</v>
      </c>
      <c r="F40">
        <v>210.86</v>
      </c>
      <c r="G40" s="2">
        <f t="shared" si="4"/>
        <v>-0.16067595089998365</v>
      </c>
      <c r="H40">
        <v>3</v>
      </c>
      <c r="I40">
        <v>89</v>
      </c>
      <c r="J40">
        <v>56.66</v>
      </c>
      <c r="K40" s="2">
        <f t="shared" si="5"/>
        <v>0.36337078651685395</v>
      </c>
      <c r="L40">
        <v>3</v>
      </c>
      <c r="M40">
        <v>168.73</v>
      </c>
      <c r="N40">
        <v>95.21</v>
      </c>
      <c r="O40" s="2">
        <f t="shared" si="6"/>
        <v>0.43572571564037221</v>
      </c>
      <c r="P40">
        <v>1</v>
      </c>
      <c r="Q40">
        <v>96.58</v>
      </c>
      <c r="R40">
        <v>96.58</v>
      </c>
      <c r="S40" s="2">
        <f t="shared" si="7"/>
        <v>0</v>
      </c>
    </row>
    <row r="41" spans="1:19" x14ac:dyDescent="0.3">
      <c r="A41" t="s">
        <v>46</v>
      </c>
      <c r="B41">
        <v>122</v>
      </c>
      <c r="C41">
        <v>4371</v>
      </c>
      <c r="D41">
        <v>3</v>
      </c>
      <c r="E41">
        <v>95.49</v>
      </c>
      <c r="F41">
        <v>186.51</v>
      </c>
      <c r="G41" s="2">
        <f t="shared" si="4"/>
        <v>-0.95318881558278357</v>
      </c>
      <c r="H41">
        <v>4</v>
      </c>
      <c r="I41">
        <v>233.09</v>
      </c>
      <c r="J41">
        <v>343.34</v>
      </c>
      <c r="K41" s="2">
        <f t="shared" si="5"/>
        <v>-0.47299326440430722</v>
      </c>
      <c r="L41">
        <v>4</v>
      </c>
      <c r="M41">
        <v>114.28</v>
      </c>
      <c r="N41">
        <v>250.52</v>
      </c>
      <c r="O41" s="2">
        <f t="shared" si="6"/>
        <v>-1.1921596079803991</v>
      </c>
      <c r="P41">
        <v>3</v>
      </c>
      <c r="Q41">
        <v>218.74</v>
      </c>
      <c r="R41">
        <v>222.41</v>
      </c>
      <c r="S41" s="2">
        <f t="shared" si="7"/>
        <v>-1.6777909847307249E-2</v>
      </c>
    </row>
    <row r="42" spans="1:19" x14ac:dyDescent="0.3">
      <c r="A42" t="s">
        <v>47</v>
      </c>
      <c r="B42">
        <v>123</v>
      </c>
      <c r="C42">
        <v>4465</v>
      </c>
      <c r="D42">
        <v>2</v>
      </c>
      <c r="E42">
        <v>974.99</v>
      </c>
      <c r="F42">
        <v>199.65</v>
      </c>
      <c r="G42" s="2">
        <f t="shared" si="4"/>
        <v>0.79522866901198985</v>
      </c>
      <c r="H42">
        <v>3</v>
      </c>
      <c r="I42">
        <v>355.97</v>
      </c>
      <c r="J42">
        <v>272.14</v>
      </c>
      <c r="K42" s="2">
        <f t="shared" si="5"/>
        <v>0.23549737337416085</v>
      </c>
      <c r="L42">
        <v>4</v>
      </c>
      <c r="M42">
        <v>924.86</v>
      </c>
      <c r="N42">
        <v>765.67</v>
      </c>
      <c r="O42" s="2">
        <f t="shared" si="6"/>
        <v>0.1721233483986766</v>
      </c>
      <c r="P42">
        <v>3</v>
      </c>
      <c r="Q42">
        <v>634.66</v>
      </c>
      <c r="R42">
        <v>976.69</v>
      </c>
      <c r="S42" s="2">
        <f t="shared" si="7"/>
        <v>-0.53891847603441234</v>
      </c>
    </row>
    <row r="43" spans="1:19" x14ac:dyDescent="0.3">
      <c r="A43" t="s">
        <v>48</v>
      </c>
      <c r="B43">
        <v>102</v>
      </c>
      <c r="C43">
        <v>2701</v>
      </c>
      <c r="D43">
        <v>2</v>
      </c>
      <c r="E43">
        <v>84.14</v>
      </c>
      <c r="F43">
        <v>139.96</v>
      </c>
      <c r="G43" s="2">
        <f t="shared" si="4"/>
        <v>-0.66341811266936068</v>
      </c>
      <c r="H43">
        <v>1</v>
      </c>
      <c r="I43">
        <v>102.06</v>
      </c>
      <c r="J43">
        <v>102.06</v>
      </c>
      <c r="K43" s="2">
        <f t="shared" si="5"/>
        <v>0</v>
      </c>
      <c r="L43">
        <v>2</v>
      </c>
      <c r="M43">
        <v>164.5</v>
      </c>
      <c r="N43">
        <v>133.37</v>
      </c>
      <c r="O43" s="2">
        <f t="shared" si="6"/>
        <v>0.18924012158054709</v>
      </c>
      <c r="P43">
        <v>2</v>
      </c>
      <c r="Q43">
        <v>258.2</v>
      </c>
      <c r="R43">
        <v>261.25</v>
      </c>
      <c r="S43" s="2">
        <f t="shared" si="7"/>
        <v>-1.1812548412083701E-2</v>
      </c>
    </row>
    <row r="44" spans="1:19" x14ac:dyDescent="0.3">
      <c r="A44" t="s">
        <v>49</v>
      </c>
      <c r="B44">
        <v>109</v>
      </c>
      <c r="C44">
        <v>3240</v>
      </c>
      <c r="D44">
        <v>3</v>
      </c>
      <c r="E44">
        <v>142.82</v>
      </c>
      <c r="F44">
        <v>241</v>
      </c>
      <c r="G44" s="2">
        <f t="shared" si="4"/>
        <v>-0.68743873407085854</v>
      </c>
      <c r="H44">
        <v>4</v>
      </c>
      <c r="I44">
        <v>173.67</v>
      </c>
      <c r="J44">
        <v>90.17</v>
      </c>
      <c r="K44" s="2">
        <f t="shared" si="5"/>
        <v>0.48079691368687738</v>
      </c>
      <c r="L44">
        <v>4</v>
      </c>
      <c r="M44">
        <v>250.95</v>
      </c>
      <c r="N44">
        <v>174.57</v>
      </c>
      <c r="O44" s="2">
        <f t="shared" si="6"/>
        <v>0.30436341900777047</v>
      </c>
      <c r="P44">
        <v>3</v>
      </c>
      <c r="Q44">
        <v>330.58</v>
      </c>
      <c r="R44">
        <v>333.58</v>
      </c>
      <c r="S44" s="2">
        <f t="shared" si="7"/>
        <v>-9.074959162683768E-3</v>
      </c>
    </row>
    <row r="45" spans="1:19" x14ac:dyDescent="0.3">
      <c r="A45" t="s">
        <v>50</v>
      </c>
      <c r="B45">
        <v>154</v>
      </c>
      <c r="C45">
        <v>7875</v>
      </c>
      <c r="D45">
        <v>5</v>
      </c>
      <c r="E45">
        <v>199.46</v>
      </c>
      <c r="F45">
        <v>220.79</v>
      </c>
      <c r="G45" s="2">
        <f t="shared" si="4"/>
        <v>-0.10693873458337502</v>
      </c>
      <c r="H45">
        <v>5</v>
      </c>
      <c r="I45">
        <v>169.32</v>
      </c>
      <c r="J45">
        <v>173.67</v>
      </c>
      <c r="K45" s="2">
        <f t="shared" si="5"/>
        <v>-2.5690999291282747E-2</v>
      </c>
      <c r="L45">
        <v>4</v>
      </c>
      <c r="M45">
        <v>188.99</v>
      </c>
      <c r="N45">
        <v>224.14</v>
      </c>
      <c r="O45" s="2">
        <f t="shared" si="6"/>
        <v>-0.18598867664955804</v>
      </c>
      <c r="P45">
        <v>5</v>
      </c>
      <c r="Q45">
        <v>297.87</v>
      </c>
      <c r="R45">
        <v>287.02</v>
      </c>
      <c r="S45" s="2">
        <f t="shared" si="7"/>
        <v>3.6425286198677354E-2</v>
      </c>
    </row>
    <row r="46" spans="1:19" x14ac:dyDescent="0.3">
      <c r="A46" t="s">
        <v>51</v>
      </c>
      <c r="B46">
        <v>271</v>
      </c>
      <c r="C46">
        <v>29403</v>
      </c>
      <c r="D46">
        <v>9</v>
      </c>
      <c r="E46">
        <v>177.99</v>
      </c>
      <c r="F46">
        <v>215.13</v>
      </c>
      <c r="G46" s="2">
        <f t="shared" si="4"/>
        <v>-0.2086634080566323</v>
      </c>
      <c r="H46">
        <v>8</v>
      </c>
      <c r="I46">
        <v>73.97</v>
      </c>
      <c r="J46">
        <v>76.66</v>
      </c>
      <c r="K46" s="2">
        <f t="shared" si="5"/>
        <v>-3.6366094362579392E-2</v>
      </c>
      <c r="L46">
        <v>9</v>
      </c>
      <c r="M46">
        <v>262.97000000000003</v>
      </c>
      <c r="N46">
        <v>259.93</v>
      </c>
      <c r="O46" s="2">
        <f t="shared" si="6"/>
        <v>1.1560254021371336E-2</v>
      </c>
      <c r="P46">
        <v>9</v>
      </c>
      <c r="Q46">
        <v>337.69</v>
      </c>
      <c r="R46">
        <v>366.71</v>
      </c>
      <c r="S46" s="2">
        <f t="shared" si="7"/>
        <v>-8.5936805946282044E-2</v>
      </c>
    </row>
    <row r="47" spans="1:19" x14ac:dyDescent="0.3">
      <c r="A47" t="s">
        <v>52</v>
      </c>
      <c r="B47">
        <v>115</v>
      </c>
      <c r="C47">
        <v>3741</v>
      </c>
      <c r="D47">
        <v>3</v>
      </c>
      <c r="E47">
        <v>85.99</v>
      </c>
      <c r="F47">
        <v>78.989999999999995</v>
      </c>
      <c r="G47" s="2">
        <f t="shared" si="4"/>
        <v>8.1404814513315507E-2</v>
      </c>
      <c r="H47">
        <v>3</v>
      </c>
      <c r="I47">
        <v>78.75</v>
      </c>
      <c r="J47">
        <v>76.569999999999993</v>
      </c>
      <c r="K47" s="2">
        <f t="shared" si="5"/>
        <v>2.768253968253977E-2</v>
      </c>
      <c r="L47">
        <v>3</v>
      </c>
      <c r="M47">
        <v>77.930000000000007</v>
      </c>
      <c r="N47">
        <v>76.55</v>
      </c>
      <c r="O47" s="2">
        <f t="shared" si="6"/>
        <v>1.7708199666367375E-2</v>
      </c>
      <c r="P47">
        <v>3</v>
      </c>
      <c r="Q47">
        <v>83.37</v>
      </c>
      <c r="R47">
        <v>71.150000000000006</v>
      </c>
      <c r="S47" s="2">
        <f t="shared" si="7"/>
        <v>0.14657550677701808</v>
      </c>
    </row>
    <row r="48" spans="1:19" x14ac:dyDescent="0.3">
      <c r="A48" t="s">
        <v>53</v>
      </c>
      <c r="B48">
        <v>115</v>
      </c>
      <c r="C48">
        <v>3741</v>
      </c>
      <c r="D48">
        <v>3</v>
      </c>
      <c r="E48">
        <v>710.38</v>
      </c>
      <c r="F48">
        <v>850.22</v>
      </c>
      <c r="G48" s="2">
        <f t="shared" si="4"/>
        <v>-0.19685238886229911</v>
      </c>
      <c r="H48">
        <v>3</v>
      </c>
      <c r="I48">
        <v>629.44000000000005</v>
      </c>
      <c r="J48">
        <v>620.52</v>
      </c>
      <c r="K48" s="2">
        <f t="shared" si="5"/>
        <v>1.4171326893746937E-2</v>
      </c>
      <c r="L48">
        <v>3</v>
      </c>
      <c r="M48">
        <v>647.70000000000005</v>
      </c>
      <c r="N48">
        <v>636.33000000000004</v>
      </c>
      <c r="O48" s="2">
        <f t="shared" si="6"/>
        <v>1.7554423344140813E-2</v>
      </c>
      <c r="P48">
        <v>3</v>
      </c>
      <c r="Q48">
        <v>802.05</v>
      </c>
      <c r="R48">
        <v>817.54</v>
      </c>
      <c r="S48" s="2">
        <f t="shared" si="7"/>
        <v>-1.9313010410822281E-2</v>
      </c>
    </row>
    <row r="49" spans="1:19" x14ac:dyDescent="0.3">
      <c r="A49" t="s">
        <v>54</v>
      </c>
      <c r="B49">
        <v>118</v>
      </c>
      <c r="C49">
        <v>4005</v>
      </c>
      <c r="D49">
        <v>3</v>
      </c>
      <c r="E49">
        <v>468.17</v>
      </c>
      <c r="F49">
        <v>315.75</v>
      </c>
      <c r="G49" s="2">
        <f t="shared" si="4"/>
        <v>0.32556549971164322</v>
      </c>
      <c r="H49">
        <v>2</v>
      </c>
      <c r="I49">
        <v>330.01</v>
      </c>
      <c r="J49">
        <v>258.93</v>
      </c>
      <c r="K49" s="2">
        <f t="shared" si="5"/>
        <v>0.21538741250265139</v>
      </c>
      <c r="L49">
        <v>4</v>
      </c>
      <c r="M49">
        <v>377.18</v>
      </c>
      <c r="N49">
        <v>342.67</v>
      </c>
      <c r="O49" s="2">
        <f t="shared" si="6"/>
        <v>9.1494777029534943E-2</v>
      </c>
      <c r="P49">
        <v>4</v>
      </c>
      <c r="Q49">
        <v>381.5</v>
      </c>
      <c r="R49">
        <v>399.63</v>
      </c>
      <c r="S49" s="2">
        <f t="shared" si="7"/>
        <v>-4.7522935779816505E-2</v>
      </c>
    </row>
    <row r="50" spans="1:19" x14ac:dyDescent="0.3">
      <c r="A50" t="s">
        <v>55</v>
      </c>
      <c r="B50">
        <v>165</v>
      </c>
      <c r="C50">
        <v>9316</v>
      </c>
      <c r="D50">
        <v>5</v>
      </c>
      <c r="E50">
        <v>73.48</v>
      </c>
      <c r="F50">
        <v>93.39</v>
      </c>
      <c r="G50" s="2">
        <f t="shared" si="4"/>
        <v>-0.27095808383233527</v>
      </c>
      <c r="H50">
        <v>4</v>
      </c>
      <c r="I50">
        <v>48.6</v>
      </c>
      <c r="J50">
        <v>52.52</v>
      </c>
      <c r="K50" s="2">
        <f t="shared" si="5"/>
        <v>-8.0658436213991797E-2</v>
      </c>
      <c r="L50">
        <v>4</v>
      </c>
      <c r="M50">
        <v>54.2</v>
      </c>
      <c r="N50">
        <v>51.16</v>
      </c>
      <c r="O50" s="2">
        <f t="shared" si="6"/>
        <v>5.6088560885608971E-2</v>
      </c>
      <c r="P50">
        <v>5</v>
      </c>
      <c r="Q50">
        <v>69.89</v>
      </c>
      <c r="R50">
        <v>93.56</v>
      </c>
      <c r="S50" s="2">
        <f t="shared" si="7"/>
        <v>-0.33867506080984405</v>
      </c>
    </row>
    <row r="51" spans="1:19" x14ac:dyDescent="0.3">
      <c r="A51" t="s">
        <v>56</v>
      </c>
      <c r="B51">
        <v>108</v>
      </c>
      <c r="C51">
        <v>3160</v>
      </c>
      <c r="D51">
        <v>3</v>
      </c>
      <c r="E51">
        <v>181.97</v>
      </c>
      <c r="F51">
        <v>218.36</v>
      </c>
      <c r="G51" s="2">
        <f t="shared" si="4"/>
        <v>-0.19997801835467394</v>
      </c>
      <c r="H51">
        <v>4</v>
      </c>
      <c r="I51">
        <v>218.27</v>
      </c>
      <c r="J51">
        <v>94.41</v>
      </c>
      <c r="K51" s="2">
        <f t="shared" si="5"/>
        <v>0.56746231731341923</v>
      </c>
      <c r="L51">
        <v>3</v>
      </c>
      <c r="M51">
        <v>928.03</v>
      </c>
      <c r="N51">
        <v>835.23</v>
      </c>
      <c r="O51" s="2">
        <f t="shared" si="6"/>
        <v>9.999676734588317E-2</v>
      </c>
      <c r="P51">
        <v>3</v>
      </c>
      <c r="Q51">
        <v>1282.08</v>
      </c>
      <c r="R51">
        <v>1293.83</v>
      </c>
      <c r="S51" s="2">
        <f t="shared" si="7"/>
        <v>-9.1647947085985275E-3</v>
      </c>
    </row>
    <row r="52" spans="1:19" x14ac:dyDescent="0.3">
      <c r="A52" t="s">
        <v>57</v>
      </c>
      <c r="B52">
        <v>162</v>
      </c>
      <c r="C52">
        <v>8911</v>
      </c>
      <c r="D52">
        <v>4</v>
      </c>
      <c r="E52">
        <v>340.78</v>
      </c>
      <c r="F52">
        <v>281.20999999999998</v>
      </c>
      <c r="G52" s="2">
        <f t="shared" si="4"/>
        <v>0.17480485944010798</v>
      </c>
      <c r="H52">
        <v>5</v>
      </c>
      <c r="I52">
        <v>468.2</v>
      </c>
      <c r="J52">
        <v>411.74</v>
      </c>
      <c r="K52" s="2">
        <f t="shared" si="5"/>
        <v>0.12058949167022635</v>
      </c>
      <c r="L52">
        <v>5</v>
      </c>
      <c r="M52">
        <v>431.4</v>
      </c>
      <c r="N52">
        <v>458.26</v>
      </c>
      <c r="O52" s="2">
        <f t="shared" si="6"/>
        <v>-6.2262401483541993E-2</v>
      </c>
      <c r="P52">
        <v>5</v>
      </c>
      <c r="Q52">
        <v>546.97</v>
      </c>
      <c r="R52">
        <v>486.88</v>
      </c>
      <c r="S52" s="2">
        <f t="shared" si="7"/>
        <v>0.10985977293087378</v>
      </c>
    </row>
    <row r="53" spans="1:19" x14ac:dyDescent="0.3">
      <c r="A53" t="s">
        <v>58</v>
      </c>
      <c r="B53">
        <v>116</v>
      </c>
      <c r="C53">
        <v>3828</v>
      </c>
      <c r="D53">
        <v>3</v>
      </c>
      <c r="E53">
        <v>124.28</v>
      </c>
      <c r="F53">
        <v>125.28</v>
      </c>
      <c r="G53" s="2">
        <f t="shared" si="4"/>
        <v>-8.0463469584808496E-3</v>
      </c>
      <c r="H53">
        <v>3</v>
      </c>
      <c r="I53">
        <v>144.91</v>
      </c>
      <c r="J53">
        <v>153.63</v>
      </c>
      <c r="K53" s="2">
        <f t="shared" si="5"/>
        <v>-6.0175281209026286E-2</v>
      </c>
      <c r="L53">
        <v>3</v>
      </c>
      <c r="M53">
        <v>118.6</v>
      </c>
      <c r="N53">
        <v>130.28</v>
      </c>
      <c r="O53" s="2">
        <f t="shared" si="6"/>
        <v>-9.8482293423271569E-2</v>
      </c>
      <c r="P53">
        <v>3</v>
      </c>
      <c r="Q53">
        <v>117.3</v>
      </c>
      <c r="R53">
        <v>117.31</v>
      </c>
      <c r="S53" s="2">
        <f t="shared" si="7"/>
        <v>-8.5251491901151892E-5</v>
      </c>
    </row>
    <row r="54" spans="1:19" x14ac:dyDescent="0.3">
      <c r="A54" t="s">
        <v>59</v>
      </c>
      <c r="B54">
        <v>181</v>
      </c>
      <c r="C54">
        <v>11628</v>
      </c>
      <c r="D54">
        <v>6</v>
      </c>
      <c r="E54">
        <v>655.04</v>
      </c>
      <c r="F54">
        <v>461.8</v>
      </c>
      <c r="G54" s="2">
        <f t="shared" si="4"/>
        <v>0.29500488519785045</v>
      </c>
      <c r="H54">
        <v>6</v>
      </c>
      <c r="I54">
        <v>965.47</v>
      </c>
      <c r="J54">
        <v>998.58</v>
      </c>
      <c r="K54" s="2">
        <f t="shared" si="5"/>
        <v>-3.4294177965136168E-2</v>
      </c>
      <c r="L54">
        <v>6</v>
      </c>
      <c r="M54">
        <v>508.9</v>
      </c>
      <c r="N54">
        <v>535.54999999999995</v>
      </c>
      <c r="O54" s="2">
        <f t="shared" si="6"/>
        <v>-5.2367852230300604E-2</v>
      </c>
      <c r="P54">
        <v>6</v>
      </c>
      <c r="Q54">
        <v>490.65</v>
      </c>
      <c r="R54">
        <v>520.71</v>
      </c>
      <c r="S54" s="2">
        <f t="shared" si="7"/>
        <v>-6.1265667991440051E-2</v>
      </c>
    </row>
    <row r="55" spans="1:19" x14ac:dyDescent="0.3">
      <c r="A55" t="s">
        <v>60</v>
      </c>
      <c r="B55">
        <v>118</v>
      </c>
      <c r="C55">
        <v>4005</v>
      </c>
      <c r="D55">
        <v>3</v>
      </c>
      <c r="E55">
        <v>5344.88</v>
      </c>
      <c r="F55">
        <v>3230.22</v>
      </c>
      <c r="G55" s="2">
        <f t="shared" si="4"/>
        <v>0.39564218467018908</v>
      </c>
      <c r="H55">
        <v>4</v>
      </c>
      <c r="I55">
        <v>3819.39</v>
      </c>
      <c r="J55">
        <v>3664.95</v>
      </c>
      <c r="K55" s="2">
        <f t="shared" si="5"/>
        <v>4.0435776393612607E-2</v>
      </c>
      <c r="L55">
        <v>2</v>
      </c>
      <c r="M55">
        <v>3541.85</v>
      </c>
      <c r="N55">
        <v>3901.73</v>
      </c>
      <c r="O55" s="2">
        <f t="shared" si="6"/>
        <v>-0.10160791676666152</v>
      </c>
      <c r="P55">
        <v>3</v>
      </c>
      <c r="Q55">
        <v>3329.16</v>
      </c>
      <c r="R55">
        <v>4084.59</v>
      </c>
      <c r="S55" s="2">
        <f t="shared" si="7"/>
        <v>-0.22691309519518446</v>
      </c>
    </row>
    <row r="56" spans="1:19" x14ac:dyDescent="0.3">
      <c r="A56" t="s">
        <v>61</v>
      </c>
      <c r="B56">
        <v>103</v>
      </c>
      <c r="C56">
        <v>2775</v>
      </c>
      <c r="D56">
        <v>3</v>
      </c>
      <c r="E56">
        <v>2054.5700000000002</v>
      </c>
      <c r="F56">
        <v>2092.42</v>
      </c>
      <c r="G56" s="2">
        <f t="shared" si="4"/>
        <v>-1.842234628170367E-2</v>
      </c>
      <c r="H56">
        <v>3</v>
      </c>
      <c r="I56">
        <v>2290.9299999999998</v>
      </c>
      <c r="J56">
        <v>2344.2600000000002</v>
      </c>
      <c r="K56" s="2">
        <f t="shared" si="5"/>
        <v>-2.327875578913384E-2</v>
      </c>
      <c r="L56">
        <v>3</v>
      </c>
      <c r="M56">
        <v>2182.1999999999998</v>
      </c>
      <c r="N56">
        <v>2287.67</v>
      </c>
      <c r="O56" s="2">
        <f t="shared" si="6"/>
        <v>-4.8331958573916353E-2</v>
      </c>
      <c r="P56">
        <v>3</v>
      </c>
      <c r="Q56">
        <v>2307.7199999999998</v>
      </c>
      <c r="R56">
        <v>2347.83</v>
      </c>
      <c r="S56" s="2">
        <f t="shared" si="7"/>
        <v>-1.738079143050289E-2</v>
      </c>
    </row>
    <row r="57" spans="1:19" x14ac:dyDescent="0.3">
      <c r="A57" t="s">
        <v>62</v>
      </c>
      <c r="B57">
        <v>114</v>
      </c>
      <c r="C57">
        <v>3655</v>
      </c>
      <c r="D57">
        <v>3</v>
      </c>
      <c r="E57">
        <v>600.49</v>
      </c>
      <c r="F57">
        <v>824.73</v>
      </c>
      <c r="G57" s="2">
        <f t="shared" si="4"/>
        <v>-0.37342836683375247</v>
      </c>
      <c r="H57">
        <v>3</v>
      </c>
      <c r="I57">
        <v>490.37</v>
      </c>
      <c r="J57">
        <v>499.73</v>
      </c>
      <c r="K57" s="2">
        <f t="shared" si="5"/>
        <v>-1.908762770968863E-2</v>
      </c>
      <c r="L57">
        <v>3</v>
      </c>
      <c r="M57">
        <v>713.47</v>
      </c>
      <c r="N57">
        <v>742.88</v>
      </c>
      <c r="O57" s="2">
        <f t="shared" si="6"/>
        <v>-4.1221074467041312E-2</v>
      </c>
      <c r="P57">
        <v>3</v>
      </c>
      <c r="Q57">
        <v>637.79999999999995</v>
      </c>
      <c r="R57">
        <v>654.49</v>
      </c>
      <c r="S57" s="2">
        <f t="shared" si="7"/>
        <v>-2.6168077767325267E-2</v>
      </c>
    </row>
    <row r="58" spans="1:19" x14ac:dyDescent="0.3">
      <c r="A58" t="s">
        <v>63</v>
      </c>
      <c r="B58">
        <v>167</v>
      </c>
      <c r="C58">
        <v>9591</v>
      </c>
      <c r="D58">
        <v>5</v>
      </c>
      <c r="E58">
        <v>1134.54</v>
      </c>
      <c r="F58">
        <v>1234.03</v>
      </c>
      <c r="G58" s="2">
        <f t="shared" si="4"/>
        <v>-8.7691928006064138E-2</v>
      </c>
      <c r="H58">
        <v>5</v>
      </c>
      <c r="I58">
        <v>446.89</v>
      </c>
      <c r="J58">
        <v>415.8</v>
      </c>
      <c r="K58" s="2">
        <f t="shared" si="5"/>
        <v>6.9569692765557467E-2</v>
      </c>
      <c r="L58">
        <v>5</v>
      </c>
      <c r="M58">
        <v>774.44</v>
      </c>
      <c r="N58">
        <v>724.96</v>
      </c>
      <c r="O58" s="2">
        <f t="shared" si="6"/>
        <v>6.3891327927276503E-2</v>
      </c>
      <c r="P58">
        <v>5</v>
      </c>
      <c r="Q58">
        <v>826.02</v>
      </c>
      <c r="R58">
        <v>843.36</v>
      </c>
      <c r="S58" s="2">
        <f t="shared" si="7"/>
        <v>-2.0992227791094685E-2</v>
      </c>
    </row>
    <row r="59" spans="1:19" x14ac:dyDescent="0.3">
      <c r="A59" t="s">
        <v>64</v>
      </c>
      <c r="B59">
        <v>106</v>
      </c>
      <c r="C59">
        <v>3003</v>
      </c>
      <c r="D59">
        <v>1</v>
      </c>
      <c r="E59">
        <v>593.44000000000005</v>
      </c>
      <c r="F59">
        <v>593.44000000000005</v>
      </c>
      <c r="G59" s="2">
        <f t="shared" si="4"/>
        <v>0</v>
      </c>
      <c r="H59">
        <v>3</v>
      </c>
      <c r="I59">
        <v>496.22</v>
      </c>
      <c r="J59">
        <v>710.77</v>
      </c>
      <c r="K59" s="2">
        <f t="shared" si="5"/>
        <v>-0.43236870742815675</v>
      </c>
      <c r="L59">
        <v>3</v>
      </c>
      <c r="M59">
        <v>496.43</v>
      </c>
      <c r="N59">
        <v>576.28</v>
      </c>
      <c r="O59" s="2">
        <f t="shared" si="6"/>
        <v>-0.16084845799004888</v>
      </c>
      <c r="P59">
        <v>3</v>
      </c>
      <c r="Q59">
        <v>399.74</v>
      </c>
      <c r="R59">
        <v>146.52000000000001</v>
      </c>
      <c r="S59" s="2">
        <f t="shared" si="7"/>
        <v>0.63346175013758943</v>
      </c>
    </row>
    <row r="60" spans="1:19" x14ac:dyDescent="0.3">
      <c r="A60" t="s">
        <v>65</v>
      </c>
      <c r="B60">
        <v>122</v>
      </c>
      <c r="C60">
        <v>4371</v>
      </c>
      <c r="D60">
        <v>3</v>
      </c>
      <c r="E60">
        <v>455.28</v>
      </c>
      <c r="F60">
        <v>185.5</v>
      </c>
      <c r="G60" s="2">
        <f t="shared" si="4"/>
        <v>0.59255842558425587</v>
      </c>
      <c r="H60">
        <v>4</v>
      </c>
      <c r="I60">
        <v>103.57</v>
      </c>
      <c r="J60">
        <v>158.5</v>
      </c>
      <c r="K60" s="2">
        <f t="shared" si="5"/>
        <v>-0.5303659360818771</v>
      </c>
      <c r="L60">
        <v>2</v>
      </c>
      <c r="M60">
        <v>200.66</v>
      </c>
      <c r="N60">
        <v>179.96</v>
      </c>
      <c r="O60" s="2">
        <f t="shared" si="6"/>
        <v>0.10315957340775436</v>
      </c>
      <c r="P60">
        <v>2</v>
      </c>
      <c r="Q60">
        <v>289.89</v>
      </c>
      <c r="R60">
        <v>214.49</v>
      </c>
      <c r="S60" s="2">
        <f t="shared" si="7"/>
        <v>0.26009865811169747</v>
      </c>
    </row>
    <row r="61" spans="1:19" x14ac:dyDescent="0.3">
      <c r="A61" t="s">
        <v>66</v>
      </c>
      <c r="B61">
        <v>122</v>
      </c>
      <c r="C61">
        <v>4371</v>
      </c>
      <c r="D61">
        <v>2</v>
      </c>
      <c r="E61">
        <v>349.95</v>
      </c>
      <c r="F61">
        <v>18.059999999999999</v>
      </c>
      <c r="G61" s="2">
        <f t="shared" si="4"/>
        <v>0.94839262751821685</v>
      </c>
      <c r="H61">
        <v>2</v>
      </c>
      <c r="I61">
        <v>323.64999999999998</v>
      </c>
      <c r="J61">
        <v>120.67</v>
      </c>
      <c r="K61" s="2">
        <f t="shared" si="5"/>
        <v>0.62715896802101023</v>
      </c>
      <c r="L61">
        <v>3</v>
      </c>
      <c r="M61">
        <v>456.64</v>
      </c>
      <c r="N61">
        <v>402.85</v>
      </c>
      <c r="O61" s="2">
        <f t="shared" si="6"/>
        <v>0.11779519971969159</v>
      </c>
      <c r="P61">
        <v>3</v>
      </c>
      <c r="Q61">
        <v>631.77</v>
      </c>
      <c r="R61">
        <v>610.11</v>
      </c>
      <c r="S61" s="2">
        <f t="shared" si="7"/>
        <v>3.4284628899757773E-2</v>
      </c>
    </row>
    <row r="62" spans="1:19" x14ac:dyDescent="0.3">
      <c r="A62" t="s">
        <v>67</v>
      </c>
      <c r="B62">
        <v>338</v>
      </c>
      <c r="C62">
        <v>47895</v>
      </c>
      <c r="D62">
        <v>4</v>
      </c>
      <c r="E62">
        <v>30.62</v>
      </c>
      <c r="F62">
        <v>29.74</v>
      </c>
      <c r="G62" s="2">
        <f t="shared" si="4"/>
        <v>2.873938602220779E-2</v>
      </c>
      <c r="H62">
        <v>4</v>
      </c>
      <c r="I62">
        <v>14.68</v>
      </c>
      <c r="J62">
        <v>15.82</v>
      </c>
      <c r="K62" s="2">
        <f t="shared" si="5"/>
        <v>-7.7656675749318838E-2</v>
      </c>
      <c r="L62">
        <v>6</v>
      </c>
      <c r="M62">
        <v>15.66</v>
      </c>
      <c r="N62">
        <v>15.09</v>
      </c>
      <c r="O62" s="2">
        <f t="shared" si="6"/>
        <v>3.6398467432950207E-2</v>
      </c>
      <c r="P62">
        <v>5</v>
      </c>
      <c r="Q62">
        <v>7.53</v>
      </c>
      <c r="R62">
        <v>111.5</v>
      </c>
      <c r="S62" s="2">
        <f t="shared" si="7"/>
        <v>-13.807436918990703</v>
      </c>
    </row>
    <row r="63" spans="1:19" x14ac:dyDescent="0.3">
      <c r="A63" t="s">
        <v>68</v>
      </c>
      <c r="B63">
        <v>122</v>
      </c>
      <c r="C63">
        <v>4371</v>
      </c>
      <c r="D63">
        <v>4</v>
      </c>
      <c r="E63">
        <v>650.66999999999996</v>
      </c>
      <c r="F63">
        <v>508.97</v>
      </c>
      <c r="G63" s="2">
        <f t="shared" si="4"/>
        <v>0.21777552369096462</v>
      </c>
      <c r="H63">
        <v>4</v>
      </c>
      <c r="I63">
        <v>415.41</v>
      </c>
      <c r="J63">
        <v>459.07</v>
      </c>
      <c r="K63" s="2">
        <f t="shared" si="5"/>
        <v>-0.10510098456946142</v>
      </c>
      <c r="L63">
        <v>4</v>
      </c>
      <c r="M63">
        <v>428.3</v>
      </c>
      <c r="N63">
        <v>473.7</v>
      </c>
      <c r="O63" s="2">
        <f t="shared" si="6"/>
        <v>-0.10600046696240947</v>
      </c>
      <c r="P63">
        <v>3</v>
      </c>
      <c r="Q63">
        <v>309.58999999999997</v>
      </c>
      <c r="R63">
        <v>269.5</v>
      </c>
      <c r="S63" s="2">
        <f t="shared" si="7"/>
        <v>0.12949384670047476</v>
      </c>
    </row>
    <row r="64" spans="1:19" x14ac:dyDescent="0.3">
      <c r="A64" t="s">
        <v>69</v>
      </c>
      <c r="B64">
        <v>194</v>
      </c>
      <c r="C64">
        <v>13695</v>
      </c>
      <c r="D64">
        <v>6</v>
      </c>
      <c r="E64">
        <v>322.60000000000002</v>
      </c>
      <c r="F64">
        <v>142.79</v>
      </c>
      <c r="G64" s="2">
        <f t="shared" si="4"/>
        <v>0.55737755734655925</v>
      </c>
      <c r="H64">
        <v>5</v>
      </c>
      <c r="I64">
        <v>181.23</v>
      </c>
      <c r="J64">
        <v>105.99</v>
      </c>
      <c r="K64" s="2">
        <f t="shared" si="5"/>
        <v>0.41516305247475582</v>
      </c>
      <c r="L64">
        <v>5</v>
      </c>
      <c r="M64">
        <v>234.08</v>
      </c>
      <c r="N64">
        <v>190.88</v>
      </c>
      <c r="O64" s="2">
        <f t="shared" si="6"/>
        <v>0.18455228981544777</v>
      </c>
      <c r="P64">
        <v>3</v>
      </c>
      <c r="Q64">
        <v>238.83</v>
      </c>
      <c r="R64">
        <v>232.73</v>
      </c>
      <c r="S64" s="2">
        <f t="shared" si="7"/>
        <v>2.5541179918770768E-2</v>
      </c>
    </row>
    <row r="66" spans="1:19" x14ac:dyDescent="0.3">
      <c r="A66" t="s">
        <v>37</v>
      </c>
      <c r="G66" s="2">
        <f>MEDIAN(G35:G64)</f>
        <v>1.4369693011103895E-2</v>
      </c>
      <c r="K66" s="2">
        <f>MEDIAN(K35:K64)</f>
        <v>7.0856634468734686E-3</v>
      </c>
      <c r="O66" s="2">
        <f>MEDIAN(O35:O64)</f>
        <v>1.7631311505254092E-2</v>
      </c>
      <c r="S66" s="2">
        <f>MEDIAN(S35:S64)</f>
        <v>-1.7079350638905068E-2</v>
      </c>
    </row>
    <row r="67" spans="1:19" x14ac:dyDescent="0.3">
      <c r="A67" t="s">
        <v>38</v>
      </c>
      <c r="G67" s="2">
        <f>AVERAGE(G35:G64)</f>
        <v>2.7978923222744409E-2</v>
      </c>
      <c r="K67" s="2">
        <f>AVERAGE(K35:K64)</f>
        <v>7.0796644976696424E-2</v>
      </c>
      <c r="O67" s="2">
        <f>AVERAGE(O35:O64)</f>
        <v>-1.1084188273302124E-2</v>
      </c>
      <c r="S67" s="2">
        <f>AVERAGE(S35:S64)</f>
        <v>-0.47028135583227032</v>
      </c>
    </row>
    <row r="68" spans="1:19" x14ac:dyDescent="0.3">
      <c r="A68" t="s">
        <v>39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results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Vittorio Maniezzo</dc:creator>
  <cp:lastModifiedBy>Vittorio Maniezzo</cp:lastModifiedBy>
  <dcterms:created xsi:type="dcterms:W3CDTF">2026-08-09T15:44:40Z</dcterms:created>
  <dcterms:modified xsi:type="dcterms:W3CDTF">2026-08-10T10:54:48Z</dcterms:modified>
</cp:coreProperties>
</file>