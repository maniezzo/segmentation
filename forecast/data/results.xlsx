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segmentation\forecast\data\"/>
    </mc:Choice>
  </mc:AlternateContent>
  <xr:revisionPtr revIDLastSave="0" documentId="13_ncr:40009_{CBCAC179-ED3B-4634-9B51-3A7E1D36C87C}" xr6:coauthVersionLast="47" xr6:coauthVersionMax="47" xr10:uidLastSave="{00000000-0000-0000-0000-000000000000}"/>
  <bookViews>
    <workbookView xWindow="3165" yWindow="735" windowWidth="24360" windowHeight="14385"/>
  </bookViews>
  <sheets>
    <sheet name="resul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9" i="1" l="1"/>
  <c r="M29" i="1"/>
  <c r="I29" i="1"/>
  <c r="E29" i="1"/>
  <c r="M5" i="1"/>
  <c r="Q28" i="1"/>
  <c r="M28" i="1"/>
  <c r="I28" i="1"/>
  <c r="E28" i="1"/>
  <c r="I7" i="1"/>
  <c r="I27" i="1" s="1"/>
  <c r="Q27" i="1"/>
  <c r="M27" i="1"/>
  <c r="E27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M4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I4" i="1"/>
  <c r="I5" i="1"/>
  <c r="I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Q3" i="1"/>
  <c r="M3" i="1"/>
  <c r="I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3" i="1"/>
</calcChain>
</file>

<file path=xl/sharedStrings.xml><?xml version="1.0" encoding="utf-8"?>
<sst xmlns="http://schemas.openxmlformats.org/spreadsheetml/2006/main" count="46" uniqueCount="26">
  <si>
    <t>N1879</t>
  </si>
  <si>
    <t>base</t>
  </si>
  <si>
    <t>fore</t>
  </si>
  <si>
    <t>RF</t>
  </si>
  <si>
    <t>N1906</t>
  </si>
  <si>
    <t>N1679</t>
  </si>
  <si>
    <t>N1930</t>
  </si>
  <si>
    <t>N1402</t>
  </si>
  <si>
    <t>Q14640</t>
  </si>
  <si>
    <t>Q15444</t>
  </si>
  <si>
    <t>Q18148</t>
  </si>
  <si>
    <t>Q18496</t>
  </si>
  <si>
    <t>Q19604</t>
  </si>
  <si>
    <t>Q19637</t>
  </si>
  <si>
    <t>Q2002</t>
  </si>
  <si>
    <t>AR nint</t>
  </si>
  <si>
    <t>HW nint</t>
  </si>
  <si>
    <t>Theta nint</t>
  </si>
  <si>
    <t>RF nint</t>
  </si>
  <si>
    <t>AR</t>
  </si>
  <si>
    <t>HW</t>
  </si>
  <si>
    <t>Theta</t>
  </si>
  <si>
    <t>delta</t>
  </si>
  <si>
    <t>median</t>
  </si>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</sst>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tabSelected="1" workbookViewId="0">
      <selection activeCell="T28" sqref="T28"/>
    </sheetView>
  </sheetViews>
  <sheetFormatPr defaultRowHeight="15" x14ac:dyDescent="0.25"/>
  <sheetData>
    <row r="1" spans="1:17" x14ac:dyDescent="0.25">
      <c r="C1" t="s">
        <v>19</v>
      </c>
      <c r="G1" t="s">
        <v>20</v>
      </c>
      <c r="K1" t="s">
        <v>21</v>
      </c>
      <c r="O1" t="s">
        <v>3</v>
      </c>
    </row>
    <row r="2" spans="1:17" x14ac:dyDescent="0.25">
      <c r="B2" s="1" t="s">
        <v>15</v>
      </c>
      <c r="C2" t="s">
        <v>1</v>
      </c>
      <c r="D2" t="s">
        <v>2</v>
      </c>
      <c r="E2" s="2" t="s">
        <v>22</v>
      </c>
      <c r="F2" s="1" t="s">
        <v>16</v>
      </c>
      <c r="G2" t="s">
        <v>1</v>
      </c>
      <c r="H2" t="s">
        <v>2</v>
      </c>
      <c r="I2" s="2" t="s">
        <v>22</v>
      </c>
      <c r="J2" s="1" t="s">
        <v>17</v>
      </c>
      <c r="K2" t="s">
        <v>1</v>
      </c>
      <c r="L2" t="s">
        <v>2</v>
      </c>
      <c r="M2" s="2" t="s">
        <v>22</v>
      </c>
      <c r="N2" s="1" t="s">
        <v>18</v>
      </c>
      <c r="O2" t="s">
        <v>1</v>
      </c>
      <c r="P2" t="s">
        <v>2</v>
      </c>
      <c r="Q2" s="2" t="s">
        <v>22</v>
      </c>
    </row>
    <row r="3" spans="1:17" x14ac:dyDescent="0.25">
      <c r="A3" t="s">
        <v>0</v>
      </c>
      <c r="B3" s="1">
        <v>5</v>
      </c>
      <c r="C3">
        <v>2916.44</v>
      </c>
      <c r="D3">
        <v>2524.4499999999998</v>
      </c>
      <c r="E3">
        <f>(C3-D3)/C3</f>
        <v>0.13440701677387507</v>
      </c>
      <c r="F3" s="1">
        <v>3</v>
      </c>
      <c r="G3">
        <v>2504.91</v>
      </c>
      <c r="H3">
        <v>2359.29</v>
      </c>
      <c r="I3">
        <f>(G3-H3)/G3</f>
        <v>5.8133825167371242E-2</v>
      </c>
      <c r="J3" s="1">
        <v>3</v>
      </c>
      <c r="K3">
        <v>2491.9299999999998</v>
      </c>
      <c r="L3">
        <v>2398.17</v>
      </c>
      <c r="M3">
        <f>(K3-L3)/K3</f>
        <v>3.7625454968638672E-2</v>
      </c>
      <c r="N3" s="1">
        <v>3</v>
      </c>
      <c r="O3">
        <v>2417.73</v>
      </c>
      <c r="P3">
        <v>2244.62</v>
      </c>
      <c r="Q3">
        <f>(O3-P3)/O3</f>
        <v>7.1600220041112994E-2</v>
      </c>
    </row>
    <row r="4" spans="1:17" x14ac:dyDescent="0.25">
      <c r="A4" t="s">
        <v>0</v>
      </c>
      <c r="B4" s="1">
        <v>5</v>
      </c>
      <c r="C4">
        <v>2916.44</v>
      </c>
      <c r="D4">
        <v>2524.4499999999998</v>
      </c>
      <c r="E4">
        <f t="shared" ref="E4:E25" si="0">(C4-D4)/C4</f>
        <v>0.13440701677387507</v>
      </c>
      <c r="F4" s="1">
        <v>3</v>
      </c>
      <c r="G4">
        <v>2504.91</v>
      </c>
      <c r="H4">
        <v>2359.29</v>
      </c>
      <c r="I4">
        <f t="shared" ref="I4:I25" si="1">(G4-H4)/G4</f>
        <v>5.8133825167371242E-2</v>
      </c>
      <c r="J4" s="1">
        <v>3</v>
      </c>
      <c r="K4">
        <v>2491.9299999999998</v>
      </c>
      <c r="L4">
        <v>2398.17</v>
      </c>
      <c r="M4">
        <f t="shared" ref="M4:M25" si="2">(K4-L4)/K4</f>
        <v>3.7625454968638672E-2</v>
      </c>
      <c r="N4" s="1">
        <v>3</v>
      </c>
      <c r="O4">
        <v>2417.73</v>
      </c>
      <c r="P4">
        <v>2244.62</v>
      </c>
      <c r="Q4">
        <f t="shared" ref="Q4:Q25" si="3">(O4-P4)/O4</f>
        <v>7.1600220041112994E-2</v>
      </c>
    </row>
    <row r="5" spans="1:17" x14ac:dyDescent="0.25">
      <c r="A5" t="s">
        <v>4</v>
      </c>
      <c r="B5" s="1">
        <v>4</v>
      </c>
      <c r="C5">
        <v>343.27</v>
      </c>
      <c r="D5">
        <v>577.86</v>
      </c>
      <c r="E5">
        <f t="shared" si="0"/>
        <v>-0.68339790835202618</v>
      </c>
      <c r="F5" s="1">
        <v>3</v>
      </c>
      <c r="G5">
        <v>806.58</v>
      </c>
      <c r="H5">
        <v>957.87</v>
      </c>
      <c r="I5">
        <f t="shared" si="1"/>
        <v>-0.18756973889756745</v>
      </c>
      <c r="J5" s="1">
        <v>4</v>
      </c>
      <c r="K5">
        <v>786.64</v>
      </c>
      <c r="L5">
        <v>898.67</v>
      </c>
      <c r="M5">
        <f t="shared" si="2"/>
        <v>-0.14241584460490184</v>
      </c>
      <c r="N5" s="1">
        <v>3</v>
      </c>
      <c r="O5">
        <v>165.46</v>
      </c>
      <c r="P5">
        <v>162.62</v>
      </c>
      <c r="Q5">
        <f t="shared" si="3"/>
        <v>1.7164269309802992E-2</v>
      </c>
    </row>
    <row r="6" spans="1:17" x14ac:dyDescent="0.25">
      <c r="A6" t="s">
        <v>0</v>
      </c>
      <c r="B6" s="1">
        <v>5</v>
      </c>
      <c r="C6">
        <v>2916.44</v>
      </c>
      <c r="D6">
        <v>2524.4499999999998</v>
      </c>
      <c r="E6">
        <f t="shared" si="0"/>
        <v>0.13440701677387507</v>
      </c>
      <c r="F6" s="1">
        <v>3</v>
      </c>
      <c r="G6">
        <v>2504.91</v>
      </c>
      <c r="H6">
        <v>2359.29</v>
      </c>
      <c r="I6">
        <f t="shared" si="1"/>
        <v>5.8133825167371242E-2</v>
      </c>
      <c r="J6" s="1">
        <v>3</v>
      </c>
      <c r="K6">
        <v>2491.9299999999998</v>
      </c>
      <c r="L6">
        <v>2398.17</v>
      </c>
      <c r="M6">
        <f t="shared" si="2"/>
        <v>3.7625454968638672E-2</v>
      </c>
      <c r="N6" s="1">
        <v>3</v>
      </c>
      <c r="O6">
        <v>2417.73</v>
      </c>
      <c r="P6">
        <v>2244.62</v>
      </c>
      <c r="Q6">
        <f t="shared" si="3"/>
        <v>7.1600220041112994E-2</v>
      </c>
    </row>
    <row r="7" spans="1:17" x14ac:dyDescent="0.25">
      <c r="A7" t="s">
        <v>4</v>
      </c>
      <c r="B7" s="1">
        <v>4</v>
      </c>
      <c r="C7">
        <v>343.27</v>
      </c>
      <c r="D7">
        <v>577.86</v>
      </c>
      <c r="E7">
        <f t="shared" si="0"/>
        <v>-0.68339790835202618</v>
      </c>
      <c r="F7" s="1">
        <v>3</v>
      </c>
      <c r="G7">
        <v>806.58</v>
      </c>
      <c r="H7">
        <v>957.87</v>
      </c>
      <c r="I7">
        <f t="shared" si="1"/>
        <v>-0.18756973889756745</v>
      </c>
      <c r="J7" s="1">
        <v>4</v>
      </c>
      <c r="K7">
        <v>786.64</v>
      </c>
      <c r="L7">
        <v>898.67</v>
      </c>
      <c r="M7">
        <f t="shared" si="2"/>
        <v>-0.14241584460490184</v>
      </c>
      <c r="N7" s="1">
        <v>3</v>
      </c>
      <c r="O7">
        <v>165.46</v>
      </c>
      <c r="P7">
        <v>162.62</v>
      </c>
      <c r="Q7">
        <f t="shared" si="3"/>
        <v>1.7164269309802992E-2</v>
      </c>
    </row>
    <row r="8" spans="1:17" x14ac:dyDescent="0.25">
      <c r="A8" t="s">
        <v>5</v>
      </c>
      <c r="B8" s="1">
        <v>3</v>
      </c>
      <c r="C8">
        <v>1532.09</v>
      </c>
      <c r="D8">
        <v>774.01</v>
      </c>
      <c r="E8">
        <f t="shared" si="0"/>
        <v>0.49480121924952186</v>
      </c>
      <c r="F8" s="1">
        <v>2</v>
      </c>
      <c r="G8">
        <v>753.74</v>
      </c>
      <c r="H8">
        <v>924.36</v>
      </c>
      <c r="I8">
        <f t="shared" si="1"/>
        <v>-0.22636452888263858</v>
      </c>
      <c r="J8" s="1">
        <v>2</v>
      </c>
      <c r="K8">
        <v>738.46</v>
      </c>
      <c r="L8">
        <v>796.17</v>
      </c>
      <c r="M8">
        <f t="shared" si="2"/>
        <v>-7.814912114400227E-2</v>
      </c>
      <c r="N8" s="1">
        <v>2</v>
      </c>
      <c r="O8">
        <v>1050.8399999999999</v>
      </c>
      <c r="P8">
        <v>895.35</v>
      </c>
      <c r="Q8">
        <f t="shared" si="3"/>
        <v>0.1479673404133835</v>
      </c>
    </row>
    <row r="9" spans="1:17" x14ac:dyDescent="0.25">
      <c r="A9" t="s">
        <v>6</v>
      </c>
      <c r="B9" s="1">
        <v>4</v>
      </c>
      <c r="C9">
        <v>708.55</v>
      </c>
      <c r="D9">
        <v>397.1</v>
      </c>
      <c r="E9">
        <f t="shared" si="0"/>
        <v>0.439559664102745</v>
      </c>
      <c r="F9" s="1">
        <v>3</v>
      </c>
      <c r="G9">
        <v>280.23</v>
      </c>
      <c r="H9">
        <v>278.88</v>
      </c>
      <c r="I9">
        <f t="shared" si="1"/>
        <v>4.8174713628092022E-3</v>
      </c>
      <c r="J9" s="1">
        <v>3</v>
      </c>
      <c r="K9">
        <v>298.3</v>
      </c>
      <c r="L9">
        <v>309.77</v>
      </c>
      <c r="M9">
        <f t="shared" si="2"/>
        <v>-3.8451223600402179E-2</v>
      </c>
      <c r="N9" s="1">
        <v>3</v>
      </c>
      <c r="O9">
        <v>422.62</v>
      </c>
      <c r="P9">
        <v>379.1</v>
      </c>
      <c r="Q9">
        <f t="shared" si="3"/>
        <v>0.10297666934835072</v>
      </c>
    </row>
    <row r="10" spans="1:17" x14ac:dyDescent="0.25">
      <c r="A10" t="s">
        <v>5</v>
      </c>
      <c r="B10" s="1">
        <v>3</v>
      </c>
      <c r="C10">
        <v>1532.09</v>
      </c>
      <c r="D10">
        <v>774.01</v>
      </c>
      <c r="E10">
        <f t="shared" si="0"/>
        <v>0.49480121924952186</v>
      </c>
      <c r="F10" s="1">
        <v>2</v>
      </c>
      <c r="G10">
        <v>753.74</v>
      </c>
      <c r="H10">
        <v>924.36</v>
      </c>
      <c r="I10">
        <f t="shared" si="1"/>
        <v>-0.22636452888263858</v>
      </c>
      <c r="J10" s="1">
        <v>2</v>
      </c>
      <c r="K10">
        <v>738.46</v>
      </c>
      <c r="L10">
        <v>796.17</v>
      </c>
      <c r="M10">
        <f t="shared" si="2"/>
        <v>-7.814912114400227E-2</v>
      </c>
      <c r="N10" s="1">
        <v>2</v>
      </c>
      <c r="O10">
        <v>1050.8399999999999</v>
      </c>
      <c r="P10">
        <v>895.35</v>
      </c>
      <c r="Q10">
        <f t="shared" si="3"/>
        <v>0.1479673404133835</v>
      </c>
    </row>
    <row r="11" spans="1:17" x14ac:dyDescent="0.25">
      <c r="A11" t="s">
        <v>7</v>
      </c>
      <c r="B11" s="1">
        <v>2</v>
      </c>
      <c r="C11">
        <v>1463.28</v>
      </c>
      <c r="D11">
        <v>835.11</v>
      </c>
      <c r="E11">
        <f t="shared" si="0"/>
        <v>0.42928899458750203</v>
      </c>
      <c r="F11" s="1">
        <v>2</v>
      </c>
      <c r="G11">
        <v>932.82</v>
      </c>
      <c r="H11">
        <v>788.87</v>
      </c>
      <c r="I11">
        <f t="shared" si="1"/>
        <v>0.15431701721661203</v>
      </c>
      <c r="J11" s="1">
        <v>2</v>
      </c>
      <c r="K11">
        <v>705.28</v>
      </c>
      <c r="L11">
        <v>779.56</v>
      </c>
      <c r="M11">
        <f t="shared" si="2"/>
        <v>-0.10531987295825768</v>
      </c>
      <c r="N11" s="1">
        <v>2</v>
      </c>
      <c r="O11">
        <v>1608.1</v>
      </c>
      <c r="P11">
        <v>667.35</v>
      </c>
      <c r="Q11">
        <f t="shared" si="3"/>
        <v>0.58500715129656111</v>
      </c>
    </row>
    <row r="12" spans="1:17" x14ac:dyDescent="0.25">
      <c r="A12" t="s">
        <v>8</v>
      </c>
      <c r="B12" s="1">
        <v>2</v>
      </c>
      <c r="C12">
        <v>364.46</v>
      </c>
      <c r="D12">
        <v>351.04</v>
      </c>
      <c r="E12">
        <f t="shared" si="0"/>
        <v>3.6821599078088019E-2</v>
      </c>
      <c r="F12" s="1">
        <v>3</v>
      </c>
      <c r="G12">
        <v>293.18</v>
      </c>
      <c r="H12">
        <v>1323.1</v>
      </c>
      <c r="I12">
        <f t="shared" si="1"/>
        <v>-3.5129272119517014</v>
      </c>
      <c r="J12" s="1">
        <v>3</v>
      </c>
      <c r="K12">
        <v>324.10000000000002</v>
      </c>
      <c r="L12">
        <v>408.84</v>
      </c>
      <c r="M12">
        <f t="shared" si="2"/>
        <v>-0.26146251157050276</v>
      </c>
      <c r="N12" s="1">
        <v>3</v>
      </c>
      <c r="O12">
        <v>273.74</v>
      </c>
      <c r="P12">
        <v>433.01</v>
      </c>
      <c r="Q12">
        <f t="shared" si="3"/>
        <v>-0.58182947322276601</v>
      </c>
    </row>
    <row r="13" spans="1:17" x14ac:dyDescent="0.25">
      <c r="A13" t="s">
        <v>0</v>
      </c>
      <c r="B13" s="1">
        <v>5</v>
      </c>
      <c r="C13">
        <v>2916.44</v>
      </c>
      <c r="D13">
        <v>2524.4499999999998</v>
      </c>
      <c r="E13">
        <f t="shared" si="0"/>
        <v>0.13440701677387507</v>
      </c>
      <c r="F13" s="1">
        <v>3</v>
      </c>
      <c r="G13">
        <v>2336.37</v>
      </c>
      <c r="H13">
        <v>2379.0300000000002</v>
      </c>
      <c r="I13">
        <f t="shared" si="1"/>
        <v>-1.825909423593023E-2</v>
      </c>
      <c r="J13" s="1">
        <v>3</v>
      </c>
      <c r="K13">
        <v>2491.9299999999998</v>
      </c>
      <c r="L13">
        <v>2398.17</v>
      </c>
      <c r="M13">
        <f t="shared" si="2"/>
        <v>3.7625454968638672E-2</v>
      </c>
      <c r="N13" s="1">
        <v>3</v>
      </c>
      <c r="O13">
        <v>2435.85</v>
      </c>
      <c r="P13">
        <v>2241.3000000000002</v>
      </c>
      <c r="Q13">
        <f t="shared" si="3"/>
        <v>7.9869450089291097E-2</v>
      </c>
    </row>
    <row r="14" spans="1:17" x14ac:dyDescent="0.25">
      <c r="A14" t="s">
        <v>4</v>
      </c>
      <c r="B14" s="1">
        <v>4</v>
      </c>
      <c r="C14">
        <v>343.27</v>
      </c>
      <c r="D14">
        <v>577.86</v>
      </c>
      <c r="E14">
        <f t="shared" si="0"/>
        <v>-0.68339790835202618</v>
      </c>
      <c r="F14" s="1">
        <v>3</v>
      </c>
      <c r="G14">
        <v>783.91</v>
      </c>
      <c r="H14">
        <v>1143.4000000000001</v>
      </c>
      <c r="I14">
        <f t="shared" si="1"/>
        <v>-0.45858580704417617</v>
      </c>
      <c r="J14" s="1">
        <v>4</v>
      </c>
      <c r="K14">
        <v>786.64</v>
      </c>
      <c r="L14">
        <v>898.67</v>
      </c>
      <c r="M14">
        <f t="shared" si="2"/>
        <v>-0.14241584460490184</v>
      </c>
      <c r="N14" s="1">
        <v>3</v>
      </c>
      <c r="O14">
        <v>160.91</v>
      </c>
      <c r="P14">
        <v>160.94</v>
      </c>
      <c r="Q14">
        <f t="shared" si="3"/>
        <v>-1.8643962463489613E-4</v>
      </c>
    </row>
    <row r="15" spans="1:17" x14ac:dyDescent="0.25">
      <c r="A15" t="s">
        <v>5</v>
      </c>
      <c r="B15" s="1">
        <v>3</v>
      </c>
      <c r="C15">
        <v>1532.09</v>
      </c>
      <c r="D15">
        <v>774.01</v>
      </c>
      <c r="E15">
        <f t="shared" si="0"/>
        <v>0.49480121924952186</v>
      </c>
      <c r="F15" s="1">
        <v>2</v>
      </c>
      <c r="G15">
        <v>770.39</v>
      </c>
      <c r="H15">
        <v>816.93</v>
      </c>
      <c r="I15">
        <f t="shared" si="1"/>
        <v>-6.0410960682251803E-2</v>
      </c>
      <c r="J15" s="1">
        <v>2</v>
      </c>
      <c r="K15">
        <v>738.46</v>
      </c>
      <c r="L15">
        <v>796.17</v>
      </c>
      <c r="M15">
        <f t="shared" si="2"/>
        <v>-7.814912114400227E-2</v>
      </c>
      <c r="N15" s="1">
        <v>2</v>
      </c>
      <c r="O15">
        <v>1030.73</v>
      </c>
      <c r="P15">
        <v>896.26</v>
      </c>
      <c r="Q15">
        <f t="shared" si="3"/>
        <v>0.13046093545351356</v>
      </c>
    </row>
    <row r="16" spans="1:17" x14ac:dyDescent="0.25">
      <c r="A16" t="s">
        <v>6</v>
      </c>
      <c r="B16" s="1">
        <v>4</v>
      </c>
      <c r="C16">
        <v>708.55</v>
      </c>
      <c r="D16">
        <v>397.1</v>
      </c>
      <c r="E16">
        <f t="shared" si="0"/>
        <v>0.439559664102745</v>
      </c>
      <c r="F16" s="1">
        <v>3</v>
      </c>
      <c r="G16">
        <v>292.14</v>
      </c>
      <c r="H16">
        <v>310.27</v>
      </c>
      <c r="I16">
        <f t="shared" si="1"/>
        <v>-6.2059286643390145E-2</v>
      </c>
      <c r="J16" s="1">
        <v>3</v>
      </c>
      <c r="K16">
        <v>298.3</v>
      </c>
      <c r="L16">
        <v>309.77</v>
      </c>
      <c r="M16">
        <f t="shared" si="2"/>
        <v>-3.8451223600402179E-2</v>
      </c>
      <c r="N16" s="1">
        <v>3</v>
      </c>
      <c r="O16">
        <v>424.61</v>
      </c>
      <c r="P16">
        <v>388.84</v>
      </c>
      <c r="Q16">
        <f t="shared" si="3"/>
        <v>8.4242010315348295E-2</v>
      </c>
    </row>
    <row r="17" spans="1:17" x14ac:dyDescent="0.25">
      <c r="A17" t="s">
        <v>5</v>
      </c>
      <c r="B17" s="1">
        <v>3</v>
      </c>
      <c r="C17">
        <v>1532.09</v>
      </c>
      <c r="D17">
        <v>774.01</v>
      </c>
      <c r="E17">
        <f t="shared" si="0"/>
        <v>0.49480121924952186</v>
      </c>
      <c r="F17" s="1">
        <v>2</v>
      </c>
      <c r="G17">
        <v>770.39</v>
      </c>
      <c r="H17">
        <v>816.93</v>
      </c>
      <c r="I17">
        <f t="shared" si="1"/>
        <v>-6.0410960682251803E-2</v>
      </c>
      <c r="J17" s="1">
        <v>2</v>
      </c>
      <c r="K17">
        <v>738.46</v>
      </c>
      <c r="L17">
        <v>796.17</v>
      </c>
      <c r="M17">
        <f t="shared" si="2"/>
        <v>-7.814912114400227E-2</v>
      </c>
      <c r="N17" s="1">
        <v>2</v>
      </c>
      <c r="O17">
        <v>1030.73</v>
      </c>
      <c r="P17">
        <v>896.26</v>
      </c>
      <c r="Q17">
        <f t="shared" si="3"/>
        <v>0.13046093545351356</v>
      </c>
    </row>
    <row r="18" spans="1:17" x14ac:dyDescent="0.25">
      <c r="A18" t="s">
        <v>7</v>
      </c>
      <c r="B18" s="1">
        <v>2</v>
      </c>
      <c r="C18">
        <v>1463.28</v>
      </c>
      <c r="D18">
        <v>835.11</v>
      </c>
      <c r="E18">
        <f t="shared" si="0"/>
        <v>0.42928899458750203</v>
      </c>
      <c r="F18" s="1">
        <v>2</v>
      </c>
      <c r="G18">
        <v>963.16</v>
      </c>
      <c r="H18">
        <v>756.14</v>
      </c>
      <c r="I18">
        <f t="shared" si="1"/>
        <v>0.21493832800365462</v>
      </c>
      <c r="J18" s="1">
        <v>2</v>
      </c>
      <c r="K18">
        <v>705.28</v>
      </c>
      <c r="L18">
        <v>779.56</v>
      </c>
      <c r="M18">
        <f t="shared" si="2"/>
        <v>-0.10531987295825768</v>
      </c>
      <c r="N18" s="1">
        <v>2</v>
      </c>
      <c r="O18">
        <v>1641.67</v>
      </c>
      <c r="P18">
        <v>664.72</v>
      </c>
      <c r="Q18">
        <f t="shared" si="3"/>
        <v>0.59509523838530276</v>
      </c>
    </row>
    <row r="19" spans="1:17" x14ac:dyDescent="0.25">
      <c r="A19" t="s">
        <v>8</v>
      </c>
      <c r="B19" s="1">
        <v>2</v>
      </c>
      <c r="C19">
        <v>364.46</v>
      </c>
      <c r="D19">
        <v>351.04</v>
      </c>
      <c r="E19">
        <f t="shared" si="0"/>
        <v>3.6821599078088019E-2</v>
      </c>
      <c r="F19" s="1">
        <v>3</v>
      </c>
      <c r="G19">
        <v>288</v>
      </c>
      <c r="H19">
        <v>1324.05</v>
      </c>
      <c r="I19">
        <f t="shared" si="1"/>
        <v>-3.5973958333333331</v>
      </c>
      <c r="J19" s="1">
        <v>3</v>
      </c>
      <c r="K19">
        <v>324.10000000000002</v>
      </c>
      <c r="L19">
        <v>408.84</v>
      </c>
      <c r="M19">
        <f t="shared" si="2"/>
        <v>-0.26146251157050276</v>
      </c>
      <c r="N19" s="1">
        <v>3</v>
      </c>
      <c r="O19">
        <v>265.02</v>
      </c>
      <c r="P19">
        <v>420.36</v>
      </c>
      <c r="Q19">
        <f t="shared" si="3"/>
        <v>-0.58614444192891113</v>
      </c>
    </row>
    <row r="20" spans="1:17" x14ac:dyDescent="0.25">
      <c r="A20" t="s">
        <v>9</v>
      </c>
      <c r="B20" s="1">
        <v>3</v>
      </c>
      <c r="C20">
        <v>303.45999999999998</v>
      </c>
      <c r="D20">
        <v>221.66</v>
      </c>
      <c r="E20">
        <f t="shared" si="0"/>
        <v>0.2695577670862716</v>
      </c>
      <c r="F20" s="1">
        <v>3</v>
      </c>
      <c r="G20">
        <v>407.25</v>
      </c>
      <c r="H20">
        <v>405.72</v>
      </c>
      <c r="I20">
        <f t="shared" si="1"/>
        <v>3.7569060773479995E-3</v>
      </c>
      <c r="J20" s="1">
        <v>4</v>
      </c>
      <c r="K20">
        <v>253.46</v>
      </c>
      <c r="L20">
        <v>319.8</v>
      </c>
      <c r="M20">
        <f t="shared" si="2"/>
        <v>-0.26173755227649331</v>
      </c>
      <c r="N20" s="1">
        <v>4</v>
      </c>
      <c r="O20">
        <v>191.6</v>
      </c>
      <c r="P20">
        <v>256.58999999999997</v>
      </c>
      <c r="Q20">
        <f t="shared" si="3"/>
        <v>-0.33919624217118988</v>
      </c>
    </row>
    <row r="21" spans="1:17" x14ac:dyDescent="0.25">
      <c r="A21" t="s">
        <v>10</v>
      </c>
      <c r="B21" s="1">
        <v>2</v>
      </c>
      <c r="C21">
        <v>4872.57</v>
      </c>
      <c r="D21">
        <v>4887.72</v>
      </c>
      <c r="E21">
        <f t="shared" si="0"/>
        <v>-3.1092421453156232E-3</v>
      </c>
      <c r="F21" s="1">
        <v>2</v>
      </c>
      <c r="G21">
        <v>3258.96</v>
      </c>
      <c r="H21">
        <v>3162.55</v>
      </c>
      <c r="I21">
        <f t="shared" si="1"/>
        <v>2.9583057171612984E-2</v>
      </c>
      <c r="J21" s="1">
        <v>2</v>
      </c>
      <c r="K21">
        <v>3930.45</v>
      </c>
      <c r="L21">
        <v>3908.19</v>
      </c>
      <c r="M21">
        <f t="shared" si="2"/>
        <v>5.6634736480555064E-3</v>
      </c>
      <c r="N21" s="1">
        <v>2</v>
      </c>
      <c r="O21">
        <v>4405</v>
      </c>
      <c r="P21">
        <v>4518.0200000000004</v>
      </c>
      <c r="Q21">
        <f t="shared" si="3"/>
        <v>-2.5657207718501801E-2</v>
      </c>
    </row>
    <row r="22" spans="1:17" x14ac:dyDescent="0.25">
      <c r="A22" t="s">
        <v>11</v>
      </c>
      <c r="B22" s="1">
        <v>3</v>
      </c>
      <c r="C22">
        <v>37.479999999999997</v>
      </c>
      <c r="D22">
        <v>35.380000000000003</v>
      </c>
      <c r="E22">
        <f t="shared" si="0"/>
        <v>5.602988260405535E-2</v>
      </c>
      <c r="F22" s="1">
        <v>4</v>
      </c>
      <c r="G22">
        <v>47.78</v>
      </c>
      <c r="H22">
        <v>52.3</v>
      </c>
      <c r="I22">
        <f t="shared" si="1"/>
        <v>-9.4600251151109163E-2</v>
      </c>
      <c r="J22" s="1">
        <v>3</v>
      </c>
      <c r="K22">
        <v>34.409999999999997</v>
      </c>
      <c r="L22">
        <v>34.17</v>
      </c>
      <c r="M22">
        <f t="shared" si="2"/>
        <v>6.9747166521358589E-3</v>
      </c>
      <c r="N22" s="1">
        <v>3</v>
      </c>
      <c r="O22">
        <v>63.99</v>
      </c>
      <c r="P22">
        <v>63.52</v>
      </c>
      <c r="Q22">
        <f t="shared" si="3"/>
        <v>7.344897640256272E-3</v>
      </c>
    </row>
    <row r="23" spans="1:17" x14ac:dyDescent="0.25">
      <c r="A23" t="s">
        <v>12</v>
      </c>
      <c r="B23" s="1">
        <v>2</v>
      </c>
      <c r="C23">
        <v>720.68</v>
      </c>
      <c r="D23">
        <v>821.31</v>
      </c>
      <c r="E23">
        <f t="shared" si="0"/>
        <v>-0.13963201420880281</v>
      </c>
      <c r="F23" s="1">
        <v>3</v>
      </c>
      <c r="G23">
        <v>1008.05</v>
      </c>
      <c r="H23">
        <v>1035.54</v>
      </c>
      <c r="I23">
        <f t="shared" si="1"/>
        <v>-2.7270472694806817E-2</v>
      </c>
      <c r="J23" s="1">
        <v>4</v>
      </c>
      <c r="K23">
        <v>1904.43</v>
      </c>
      <c r="L23">
        <v>1532.73</v>
      </c>
      <c r="M23">
        <f t="shared" si="2"/>
        <v>0.19517650950678159</v>
      </c>
      <c r="N23" s="1">
        <v>3</v>
      </c>
      <c r="O23">
        <v>3112.29</v>
      </c>
      <c r="P23">
        <v>3093.94</v>
      </c>
      <c r="Q23">
        <f t="shared" si="3"/>
        <v>5.8959801303862776E-3</v>
      </c>
    </row>
    <row r="24" spans="1:17" x14ac:dyDescent="0.25">
      <c r="A24" t="s">
        <v>13</v>
      </c>
      <c r="B24" s="1">
        <v>4</v>
      </c>
      <c r="C24">
        <v>353.43</v>
      </c>
      <c r="D24">
        <v>127.27</v>
      </c>
      <c r="E24">
        <f t="shared" si="0"/>
        <v>0.63990040460628705</v>
      </c>
      <c r="F24" s="1">
        <v>2</v>
      </c>
      <c r="G24">
        <v>150.13</v>
      </c>
      <c r="H24">
        <v>170.89</v>
      </c>
      <c r="I24">
        <f t="shared" si="1"/>
        <v>-0.1382801571970958</v>
      </c>
      <c r="J24" s="1">
        <v>2</v>
      </c>
      <c r="K24">
        <v>223.09</v>
      </c>
      <c r="L24">
        <v>199.23</v>
      </c>
      <c r="M24">
        <f t="shared" si="2"/>
        <v>0.10695235106907532</v>
      </c>
      <c r="N24" s="1">
        <v>4</v>
      </c>
      <c r="O24">
        <v>361.45</v>
      </c>
      <c r="P24">
        <v>355.94</v>
      </c>
      <c r="Q24">
        <f t="shared" si="3"/>
        <v>1.5244155484852652E-2</v>
      </c>
    </row>
    <row r="25" spans="1:17" x14ac:dyDescent="0.25">
      <c r="A25" t="s">
        <v>14</v>
      </c>
      <c r="B25" s="1">
        <v>3</v>
      </c>
      <c r="C25">
        <v>1998.25</v>
      </c>
      <c r="D25">
        <v>2189.96</v>
      </c>
      <c r="E25">
        <f t="shared" si="0"/>
        <v>-9.5938946578255996E-2</v>
      </c>
      <c r="F25" s="1">
        <v>5</v>
      </c>
      <c r="G25">
        <v>1873.89</v>
      </c>
      <c r="H25">
        <v>2878.82</v>
      </c>
      <c r="I25">
        <f t="shared" si="1"/>
        <v>-0.53628014451221795</v>
      </c>
      <c r="J25" s="1">
        <v>4</v>
      </c>
      <c r="K25">
        <v>1850.73</v>
      </c>
      <c r="L25">
        <v>2284.88</v>
      </c>
      <c r="M25">
        <f t="shared" si="2"/>
        <v>-0.23458311044830962</v>
      </c>
      <c r="N25" s="1">
        <v>3</v>
      </c>
      <c r="O25">
        <v>2343.91</v>
      </c>
      <c r="P25">
        <v>2477.86</v>
      </c>
      <c r="Q25">
        <f t="shared" si="3"/>
        <v>-5.7148098689796228E-2</v>
      </c>
    </row>
    <row r="27" spans="1:17" x14ac:dyDescent="0.25">
      <c r="A27" t="s">
        <v>23</v>
      </c>
      <c r="E27">
        <f>MEDIAN(E3:E25)</f>
        <v>0.13440701677387507</v>
      </c>
      <c r="I27">
        <f>MEDIAN(I3:I25)</f>
        <v>-6.0410960682251803E-2</v>
      </c>
      <c r="M27">
        <f>MEDIAN(M3:M25)</f>
        <v>-7.814912114400227E-2</v>
      </c>
      <c r="Q27">
        <f>MEDIAN(Q3:Q25)</f>
        <v>7.1600220041112994E-2</v>
      </c>
    </row>
    <row r="28" spans="1:17" x14ac:dyDescent="0.25">
      <c r="A28" t="s">
        <v>24</v>
      </c>
      <c r="E28">
        <f>AVERAGE(E3:E25)</f>
        <v>0.1306429385190617</v>
      </c>
      <c r="I28">
        <f>AVERAGE(I3:I25)</f>
        <v>-0.38315367218932728</v>
      </c>
      <c r="M28">
        <f>AVERAGE(M3:M25)</f>
        <v>-6.8754914201010417E-2</v>
      </c>
      <c r="Q28">
        <f>AVERAGE(Q3:Q25)</f>
        <v>3.0065191296142983E-2</v>
      </c>
    </row>
    <row r="29" spans="1:17" x14ac:dyDescent="0.25">
      <c r="A29" t="s">
        <v>25</v>
      </c>
      <c r="E29">
        <f>_xlfn.STDEV.S(E3:E25)</f>
        <v>0.38916094162872528</v>
      </c>
      <c r="I29">
        <f>_xlfn.STDEV.S(I3:I25)</f>
        <v>1.015727789347084</v>
      </c>
      <c r="M29">
        <f>_xlfn.STDEV.S(M3:M25)</f>
        <v>0.12008106965905477</v>
      </c>
      <c r="Q29">
        <f>_xlfn.STDEV.S(Q3:Q25)</f>
        <v>0.26924555586334054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Vittorio Maniezzo</dc:creator>
  <cp:lastModifiedBy>Vittorio Maniezzo</cp:lastModifiedBy>
  <dcterms:created xsi:type="dcterms:W3CDTF">2026-08-07T09:54:35Z</dcterms:created>
  <dcterms:modified xsi:type="dcterms:W3CDTF">2026-08-07T10:14:39Z</dcterms:modified>
</cp:coreProperties>
</file>