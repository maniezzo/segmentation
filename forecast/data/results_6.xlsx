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egmentation\forecast\data\"/>
    </mc:Choice>
  </mc:AlternateContent>
  <xr:revisionPtr revIDLastSave="0" documentId="13_ncr:1_{2F253637-DB85-462C-B640-77D965167F63}" xr6:coauthVersionLast="47" xr6:coauthVersionMax="47" xr10:uidLastSave="{00000000-0000-0000-0000-000000000000}"/>
  <bookViews>
    <workbookView xWindow="1128" yWindow="336" windowWidth="20388" windowHeight="13644" xr2:uid="{718291BF-4B66-4560-AEA7-8A1171D869F4}"/>
  </bookViews>
  <sheets>
    <sheet name="results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33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V63" i="1"/>
  <c r="R63" i="1"/>
  <c r="N63" i="1"/>
  <c r="I63" i="1"/>
  <c r="V33" i="1"/>
  <c r="R33" i="1"/>
  <c r="N33" i="1"/>
  <c r="I33" i="1"/>
</calcChain>
</file>

<file path=xl/sharedStrings.xml><?xml version="1.0" encoding="utf-8"?>
<sst xmlns="http://schemas.openxmlformats.org/spreadsheetml/2006/main" count="81" uniqueCount="80">
  <si>
    <t>name</t>
  </si>
  <si>
    <t>npred</t>
  </si>
  <si>
    <t>npoints</t>
  </si>
  <si>
    <t>nsegm</t>
  </si>
  <si>
    <t>nIntAR</t>
  </si>
  <si>
    <t>RMSEBaseAR</t>
  </si>
  <si>
    <t>RMSEForeAR</t>
  </si>
  <si>
    <t>deltaAR</t>
  </si>
  <si>
    <t>nIntHW</t>
  </si>
  <si>
    <t>RMSEBaseHW</t>
  </si>
  <si>
    <t>RMSEForeHW</t>
  </si>
  <si>
    <t>deltaHW</t>
  </si>
  <si>
    <t>nIntTh</t>
  </si>
  <si>
    <t>RMSEBaseTh</t>
  </si>
  <si>
    <t>RMSEForeTH</t>
  </si>
  <si>
    <t>deltaTh</t>
  </si>
  <si>
    <t>nIntRF</t>
  </si>
  <si>
    <t>RMSEBaseRF</t>
  </si>
  <si>
    <t>RMSEForeRF</t>
  </si>
  <si>
    <t>deltaRF</t>
  </si>
  <si>
    <t>Q12635</t>
  </si>
  <si>
    <t>Q12163</t>
  </si>
  <si>
    <t>Q12036</t>
  </si>
  <si>
    <t>Q12726</t>
  </si>
  <si>
    <t>Q11722</t>
  </si>
  <si>
    <t>Q22725</t>
  </si>
  <si>
    <t>Q22366</t>
  </si>
  <si>
    <t>Q19569</t>
  </si>
  <si>
    <t>Q20713</t>
  </si>
  <si>
    <t>Q23085</t>
  </si>
  <si>
    <t>Q14875</t>
  </si>
  <si>
    <t>Q13248</t>
  </si>
  <si>
    <t>Q14559</t>
  </si>
  <si>
    <t>Q14720</t>
  </si>
  <si>
    <t>Q15440</t>
  </si>
  <si>
    <t>Q1757</t>
  </si>
  <si>
    <t>Q206</t>
  </si>
  <si>
    <t>Q4505</t>
  </si>
  <si>
    <t>Q2829</t>
  </si>
  <si>
    <t>Q3365</t>
  </si>
  <si>
    <t>Q10783</t>
  </si>
  <si>
    <t>Q8960</t>
  </si>
  <si>
    <t>Q11058</t>
  </si>
  <si>
    <t>Q8881</t>
  </si>
  <si>
    <t>Q9760</t>
  </si>
  <si>
    <t>Q23500</t>
  </si>
  <si>
    <t>Q23460</t>
  </si>
  <si>
    <t>Q23631</t>
  </si>
  <si>
    <t>Q23439</t>
  </si>
  <si>
    <t>Q23680</t>
  </si>
  <si>
    <t>N2701</t>
  </si>
  <si>
    <t>N2737</t>
  </si>
  <si>
    <t>N2743</t>
  </si>
  <si>
    <t>N2688</t>
  </si>
  <si>
    <t>N2721</t>
  </si>
  <si>
    <t>N2841</t>
  </si>
  <si>
    <t>N2554</t>
  </si>
  <si>
    <t>N2615</t>
  </si>
  <si>
    <t>N2522</t>
  </si>
  <si>
    <t>N2544</t>
  </si>
  <si>
    <t>N2208</t>
  </si>
  <si>
    <t>N2186</t>
  </si>
  <si>
    <t>N1979</t>
  </si>
  <si>
    <t>N2130</t>
  </si>
  <si>
    <t>N2144</t>
  </si>
  <si>
    <t>N2465</t>
  </si>
  <si>
    <t>N2511</t>
  </si>
  <si>
    <t>N2257</t>
  </si>
  <si>
    <t>N2355</t>
  </si>
  <si>
    <t>N2373</t>
  </si>
  <si>
    <t>N1861</t>
  </si>
  <si>
    <t>N1747</t>
  </si>
  <si>
    <t>N1790</t>
  </si>
  <si>
    <t>N1789</t>
  </si>
  <si>
    <t>N1751</t>
  </si>
  <si>
    <t>N2780</t>
  </si>
  <si>
    <t>N2783</t>
  </si>
  <si>
    <t>avg</t>
  </si>
  <si>
    <t>cetegory</t>
  </si>
  <si>
    <t>deltaARsig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</si>
</sst>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24BF-359F-4B21-AAA1-F9196E158AA4}">
  <dimension ref="A1:V63"/>
  <sheetViews>
    <sheetView tabSelected="1" workbookViewId="0">
      <selection activeCell="G13" sqref="G13"/>
    </sheetView>
  </sheetViews>
  <sheetFormatPr defaultRowHeight="14.4" x14ac:dyDescent="0.3"/>
  <cols>
    <col min="6" max="6" width="9.109375" style="1"/>
    <col min="11" max="11" width="9.109375" style="1"/>
    <col min="15" max="15" width="9.109375" style="1"/>
    <col min="19" max="19" width="9.109375" style="1"/>
  </cols>
  <sheetData>
    <row r="1" spans="1:22" x14ac:dyDescent="0.3">
      <c r="A1" t="s">
        <v>0</v>
      </c>
      <c r="B1" t="s">
        <v>78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79</v>
      </c>
      <c r="K1" s="1" t="s">
        <v>8</v>
      </c>
      <c r="L1" t="s">
        <v>9</v>
      </c>
      <c r="M1" t="s">
        <v>10</v>
      </c>
      <c r="N1" t="s">
        <v>11</v>
      </c>
      <c r="O1" s="1" t="s">
        <v>12</v>
      </c>
      <c r="P1" t="s">
        <v>13</v>
      </c>
      <c r="Q1" t="s">
        <v>14</v>
      </c>
      <c r="R1" t="s">
        <v>15</v>
      </c>
      <c r="S1" s="1" t="s">
        <v>16</v>
      </c>
      <c r="T1" t="s">
        <v>17</v>
      </c>
      <c r="U1" t="s">
        <v>18</v>
      </c>
      <c r="V1" t="s">
        <v>19</v>
      </c>
    </row>
    <row r="2" spans="1:22" x14ac:dyDescent="0.3">
      <c r="A2" t="s">
        <v>20</v>
      </c>
      <c r="C2">
        <v>6</v>
      </c>
      <c r="D2">
        <v>122</v>
      </c>
      <c r="E2">
        <v>4371</v>
      </c>
      <c r="F2" s="1">
        <v>3</v>
      </c>
      <c r="G2">
        <v>0.29985304019659298</v>
      </c>
      <c r="H2">
        <v>0.27379669672221402</v>
      </c>
      <c r="I2" s="2">
        <v>-8.6897046157327906E-2</v>
      </c>
      <c r="J2" s="2">
        <f>IF(I2&lt;0,1,0)</f>
        <v>1</v>
      </c>
      <c r="K2" s="1">
        <v>3</v>
      </c>
      <c r="L2">
        <v>0.333589175031615</v>
      </c>
      <c r="M2">
        <v>0.33657262103477298</v>
      </c>
      <c r="N2" s="2">
        <v>8.94347366899737E-3</v>
      </c>
      <c r="O2" s="1">
        <v>4</v>
      </c>
      <c r="P2">
        <v>0.29309561102180798</v>
      </c>
      <c r="Q2">
        <v>0.330185710500355</v>
      </c>
      <c r="R2" s="2">
        <v>0.126546076037238</v>
      </c>
      <c r="S2" s="1">
        <v>3</v>
      </c>
      <c r="T2">
        <v>0.30672864914106701</v>
      </c>
      <c r="U2" s="2">
        <v>0.30405199620418699</v>
      </c>
      <c r="V2" s="2">
        <v>-8.7264523362100797E-3</v>
      </c>
    </row>
    <row r="3" spans="1:22" x14ac:dyDescent="0.3">
      <c r="A3" t="s">
        <v>21</v>
      </c>
      <c r="C3">
        <v>6</v>
      </c>
      <c r="D3">
        <v>115</v>
      </c>
      <c r="E3">
        <v>3741</v>
      </c>
      <c r="F3" s="1">
        <v>4</v>
      </c>
      <c r="G3">
        <v>6.4771014420638096E-2</v>
      </c>
      <c r="H3">
        <v>5.7065872742847197E-2</v>
      </c>
      <c r="I3" s="2">
        <v>-0.118959719045805</v>
      </c>
      <c r="J3" s="2">
        <f t="shared" ref="J3:J31" si="0">IF(I3&lt;0,1,0)</f>
        <v>1</v>
      </c>
      <c r="K3" s="1">
        <v>3</v>
      </c>
      <c r="L3">
        <v>5.6662859330838401E-2</v>
      </c>
      <c r="M3">
        <v>5.7351008961273903E-2</v>
      </c>
      <c r="N3" s="2">
        <v>1.21446329846784E-2</v>
      </c>
      <c r="O3" s="1">
        <v>3</v>
      </c>
      <c r="P3">
        <v>4.9030987893126099E-2</v>
      </c>
      <c r="Q3">
        <v>5.49268100278128E-2</v>
      </c>
      <c r="R3" s="2">
        <v>0.120246855876897</v>
      </c>
      <c r="S3" s="1">
        <v>4</v>
      </c>
      <c r="T3">
        <v>3.1452337197472799E-2</v>
      </c>
      <c r="U3" s="2">
        <v>3.2551815595673703E-2</v>
      </c>
      <c r="V3" s="2">
        <v>3.4956969693471798E-2</v>
      </c>
    </row>
    <row r="4" spans="1:22" x14ac:dyDescent="0.3">
      <c r="A4" t="s">
        <v>22</v>
      </c>
      <c r="C4">
        <v>6</v>
      </c>
      <c r="D4">
        <v>150</v>
      </c>
      <c r="E4">
        <v>7381</v>
      </c>
      <c r="F4" s="1">
        <v>4</v>
      </c>
      <c r="G4">
        <v>0.154031519641151</v>
      </c>
      <c r="H4">
        <v>0.14182872012834</v>
      </c>
      <c r="I4" s="2">
        <v>-7.92227431193291E-2</v>
      </c>
      <c r="J4" s="2">
        <f t="shared" si="0"/>
        <v>1</v>
      </c>
      <c r="K4" s="1">
        <v>4</v>
      </c>
      <c r="L4">
        <v>0.15844777183185299</v>
      </c>
      <c r="M4">
        <v>0.14682606791328701</v>
      </c>
      <c r="N4" s="2">
        <v>-7.3347222142694804E-2</v>
      </c>
      <c r="O4" s="1">
        <v>4</v>
      </c>
      <c r="P4">
        <v>0.100502779347812</v>
      </c>
      <c r="Q4">
        <v>0.12631498969361599</v>
      </c>
      <c r="R4" s="2">
        <v>0.25683081118060402</v>
      </c>
      <c r="S4" s="1">
        <v>4</v>
      </c>
      <c r="T4">
        <v>8.4764670208414994E-2</v>
      </c>
      <c r="U4" s="2">
        <v>8.9675024457073996E-2</v>
      </c>
      <c r="V4" s="2">
        <v>5.7929255627205099E-2</v>
      </c>
    </row>
    <row r="5" spans="1:22" x14ac:dyDescent="0.3">
      <c r="A5" t="s">
        <v>23</v>
      </c>
      <c r="C5">
        <v>6</v>
      </c>
      <c r="D5">
        <v>161</v>
      </c>
      <c r="E5">
        <v>8778</v>
      </c>
      <c r="F5" s="1">
        <v>2</v>
      </c>
      <c r="G5">
        <v>0.12369482692233</v>
      </c>
      <c r="H5">
        <v>0.13040732226855201</v>
      </c>
      <c r="I5" s="2">
        <v>5.42665810142351E-2</v>
      </c>
      <c r="J5" s="2">
        <f t="shared" si="0"/>
        <v>0</v>
      </c>
      <c r="K5" s="1">
        <v>4</v>
      </c>
      <c r="L5">
        <v>9.7673988260678302E-2</v>
      </c>
      <c r="M5">
        <v>0.10094446512178</v>
      </c>
      <c r="N5" s="2">
        <v>3.34836011034335E-2</v>
      </c>
      <c r="O5" s="1">
        <v>3</v>
      </c>
      <c r="P5">
        <v>0.103362292929708</v>
      </c>
      <c r="Q5">
        <v>8.5749363896613001E-2</v>
      </c>
      <c r="R5" s="2">
        <v>-0.170399945027078</v>
      </c>
      <c r="S5" s="1">
        <v>3</v>
      </c>
      <c r="T5">
        <v>9.4392997825048897E-2</v>
      </c>
      <c r="U5" s="2">
        <v>0.109074845756209</v>
      </c>
      <c r="V5" s="2">
        <v>0.15553958735766199</v>
      </c>
    </row>
    <row r="6" spans="1:22" x14ac:dyDescent="0.3">
      <c r="A6" t="s">
        <v>24</v>
      </c>
      <c r="C6">
        <v>6</v>
      </c>
      <c r="D6">
        <v>184</v>
      </c>
      <c r="E6">
        <v>12090</v>
      </c>
      <c r="F6" s="1">
        <v>4</v>
      </c>
      <c r="G6">
        <v>1.2057372745915101E-2</v>
      </c>
      <c r="H6">
        <v>1.04683012977772E-2</v>
      </c>
      <c r="I6" s="2">
        <v>-0.131792512483802</v>
      </c>
      <c r="J6" s="2">
        <f t="shared" si="0"/>
        <v>1</v>
      </c>
      <c r="K6" s="1">
        <v>4</v>
      </c>
      <c r="L6">
        <v>3.6116077140876099E-2</v>
      </c>
      <c r="M6">
        <v>1.8817593706853899E-2</v>
      </c>
      <c r="N6" s="2">
        <v>-0.47896905764562703</v>
      </c>
      <c r="O6" s="1">
        <v>6</v>
      </c>
      <c r="P6">
        <v>1.3675009133564999E-2</v>
      </c>
      <c r="Q6">
        <v>1.16462909162854E-2</v>
      </c>
      <c r="R6" s="2">
        <v>-0.14835223855903301</v>
      </c>
      <c r="S6" s="1">
        <v>2</v>
      </c>
      <c r="T6">
        <v>1.00225792994625E-2</v>
      </c>
      <c r="U6" s="2">
        <v>1.1141609891928399E-2</v>
      </c>
      <c r="V6" s="2">
        <v>0.111650959202274</v>
      </c>
    </row>
    <row r="7" spans="1:22" x14ac:dyDescent="0.3">
      <c r="A7" t="s">
        <v>25</v>
      </c>
      <c r="C7">
        <v>6</v>
      </c>
      <c r="D7">
        <v>114</v>
      </c>
      <c r="E7">
        <v>3655</v>
      </c>
      <c r="F7" s="1">
        <v>2</v>
      </c>
      <c r="G7">
        <v>7.2178863598673398E-2</v>
      </c>
      <c r="H7">
        <v>8.3778868459285102E-2</v>
      </c>
      <c r="I7" s="2">
        <v>0.16071193535422901</v>
      </c>
      <c r="J7" s="2">
        <f t="shared" si="0"/>
        <v>0</v>
      </c>
      <c r="K7" s="1">
        <v>1</v>
      </c>
      <c r="L7">
        <v>7.0159051544443005E-2</v>
      </c>
      <c r="M7">
        <v>7.0159051544443005E-2</v>
      </c>
      <c r="N7" s="2">
        <v>0</v>
      </c>
      <c r="O7" s="1">
        <v>3</v>
      </c>
      <c r="P7">
        <v>6.7037869519040394E-2</v>
      </c>
      <c r="Q7">
        <v>3.7829906348037498E-2</v>
      </c>
      <c r="R7" s="2">
        <v>-0.43569348758476101</v>
      </c>
      <c r="S7" s="1">
        <v>1</v>
      </c>
      <c r="T7">
        <v>3.9009823332944699E-2</v>
      </c>
      <c r="U7" s="2">
        <v>3.9009823332944699E-2</v>
      </c>
      <c r="V7" s="2">
        <v>0</v>
      </c>
    </row>
    <row r="8" spans="1:22" x14ac:dyDescent="0.3">
      <c r="A8" t="s">
        <v>26</v>
      </c>
      <c r="C8">
        <v>6</v>
      </c>
      <c r="D8">
        <v>122</v>
      </c>
      <c r="E8">
        <v>4371</v>
      </c>
      <c r="F8" s="1">
        <v>3</v>
      </c>
      <c r="G8">
        <v>1.8030626946315902E-2</v>
      </c>
      <c r="H8">
        <v>3.5216596085704703E-2</v>
      </c>
      <c r="I8" s="2">
        <v>0.95315427414464804</v>
      </c>
      <c r="J8" s="2">
        <f t="shared" si="0"/>
        <v>0</v>
      </c>
      <c r="K8" s="1">
        <v>3</v>
      </c>
      <c r="L8">
        <v>4.4036659535884599E-2</v>
      </c>
      <c r="M8">
        <v>6.44517045927821E-2</v>
      </c>
      <c r="N8" s="2">
        <v>0.46359204517458202</v>
      </c>
      <c r="O8" s="1">
        <v>4</v>
      </c>
      <c r="P8">
        <v>2.1577849622452398E-2</v>
      </c>
      <c r="Q8">
        <v>4.73030990660714E-2</v>
      </c>
      <c r="R8" s="2">
        <v>1.19220635483765</v>
      </c>
      <c r="S8" s="1">
        <v>3</v>
      </c>
      <c r="T8">
        <v>4.1433001336723403E-2</v>
      </c>
      <c r="U8" s="2">
        <v>4.2331176921023998E-2</v>
      </c>
      <c r="V8" s="2">
        <v>2.1677782331074098E-2</v>
      </c>
    </row>
    <row r="9" spans="1:22" x14ac:dyDescent="0.3">
      <c r="A9" t="s">
        <v>27</v>
      </c>
      <c r="C9">
        <v>6</v>
      </c>
      <c r="D9">
        <v>123</v>
      </c>
      <c r="E9">
        <v>4465</v>
      </c>
      <c r="F9" s="1">
        <v>2</v>
      </c>
      <c r="G9">
        <v>0.29545021781023301</v>
      </c>
      <c r="H9">
        <v>6.0500071256206003E-2</v>
      </c>
      <c r="I9" s="2">
        <v>-0.79522752866926205</v>
      </c>
      <c r="J9" s="2">
        <f t="shared" si="0"/>
        <v>1</v>
      </c>
      <c r="K9" s="1">
        <v>3</v>
      </c>
      <c r="L9">
        <v>0.11035840054127601</v>
      </c>
      <c r="M9">
        <v>8.1873974852251799E-2</v>
      </c>
      <c r="N9" s="2">
        <v>-0.25810835921249797</v>
      </c>
      <c r="O9" s="1">
        <v>4</v>
      </c>
      <c r="P9">
        <v>0.28026122970341799</v>
      </c>
      <c r="Q9">
        <v>0.23202045718355199</v>
      </c>
      <c r="R9" s="2">
        <v>-0.172127884298932</v>
      </c>
      <c r="S9" s="1">
        <v>3</v>
      </c>
      <c r="T9">
        <v>0.18696921302186401</v>
      </c>
      <c r="U9" s="2">
        <v>0.29596589665180101</v>
      </c>
      <c r="V9" s="2">
        <v>0.582965943260351</v>
      </c>
    </row>
    <row r="10" spans="1:22" x14ac:dyDescent="0.3">
      <c r="A10" t="s">
        <v>28</v>
      </c>
      <c r="C10">
        <v>6</v>
      </c>
      <c r="D10">
        <v>102</v>
      </c>
      <c r="E10">
        <v>2701</v>
      </c>
      <c r="F10" s="1">
        <v>2</v>
      </c>
      <c r="G10">
        <v>1.9036756827253701E-2</v>
      </c>
      <c r="H10">
        <v>3.1666259535038502E-2</v>
      </c>
      <c r="I10" s="2">
        <v>0.66342722252479303</v>
      </c>
      <c r="J10" s="2">
        <f t="shared" si="0"/>
        <v>0</v>
      </c>
      <c r="K10" s="1">
        <v>1</v>
      </c>
      <c r="L10">
        <v>2.1935361681728601E-2</v>
      </c>
      <c r="M10">
        <v>2.1935361681728601E-2</v>
      </c>
      <c r="N10" s="2">
        <v>0</v>
      </c>
      <c r="O10" s="1">
        <v>2</v>
      </c>
      <c r="P10">
        <v>3.7217735157067597E-2</v>
      </c>
      <c r="Q10">
        <v>3.0173303090721599E-2</v>
      </c>
      <c r="R10" s="2">
        <v>-0.18927621567021199</v>
      </c>
      <c r="S10" s="1">
        <v>2</v>
      </c>
      <c r="T10">
        <v>6.0267153565020298E-2</v>
      </c>
      <c r="U10" s="2">
        <v>6.0003044701057301E-2</v>
      </c>
      <c r="V10" s="2">
        <v>-4.3823019396127504E-3</v>
      </c>
    </row>
    <row r="11" spans="1:22" x14ac:dyDescent="0.3">
      <c r="A11" t="s">
        <v>29</v>
      </c>
      <c r="C11">
        <v>6</v>
      </c>
      <c r="D11">
        <v>109</v>
      </c>
      <c r="E11">
        <v>3240</v>
      </c>
      <c r="F11" s="1">
        <v>3</v>
      </c>
      <c r="G11">
        <v>2.9244654169287499E-2</v>
      </c>
      <c r="H11">
        <v>4.9348231250357297E-2</v>
      </c>
      <c r="I11" s="2">
        <v>0.68742741715107603</v>
      </c>
      <c r="J11" s="2">
        <f t="shared" si="0"/>
        <v>0</v>
      </c>
      <c r="K11" s="1">
        <v>4</v>
      </c>
      <c r="L11">
        <v>3.5659564622772401E-2</v>
      </c>
      <c r="M11">
        <v>1.9478594469252899E-2</v>
      </c>
      <c r="N11" s="2">
        <v>-0.45376241478804302</v>
      </c>
      <c r="O11" s="1">
        <v>4</v>
      </c>
      <c r="P11">
        <v>5.13861356367512E-2</v>
      </c>
      <c r="Q11">
        <v>3.5745497055181701E-2</v>
      </c>
      <c r="R11" s="2">
        <v>-0.304374679818954</v>
      </c>
      <c r="S11" s="1">
        <v>3</v>
      </c>
      <c r="T11">
        <v>6.7616890888616901E-2</v>
      </c>
      <c r="U11" s="2">
        <v>6.8394690216002405E-2</v>
      </c>
      <c r="V11" s="2">
        <v>1.15030330020172E-2</v>
      </c>
    </row>
    <row r="12" spans="1:22" x14ac:dyDescent="0.3">
      <c r="A12" t="s">
        <v>30</v>
      </c>
      <c r="C12">
        <v>6</v>
      </c>
      <c r="D12">
        <v>154</v>
      </c>
      <c r="E12">
        <v>7875</v>
      </c>
      <c r="F12" s="1">
        <v>5</v>
      </c>
      <c r="G12">
        <v>2.30058267171224E-2</v>
      </c>
      <c r="H12">
        <v>2.5465820252603799E-2</v>
      </c>
      <c r="I12" s="2">
        <v>0.10692915172009</v>
      </c>
      <c r="J12" s="2">
        <f t="shared" si="0"/>
        <v>0</v>
      </c>
      <c r="K12" s="1">
        <v>5</v>
      </c>
      <c r="L12">
        <v>1.7037175798415499E-2</v>
      </c>
      <c r="M12">
        <v>2.1161492519002699E-2</v>
      </c>
      <c r="N12" s="2">
        <v>0.24207748804064</v>
      </c>
      <c r="O12" s="1">
        <v>4</v>
      </c>
      <c r="P12">
        <v>2.1797713595413E-2</v>
      </c>
      <c r="Q12">
        <v>2.58519386817158E-2</v>
      </c>
      <c r="R12" s="2">
        <v>0.18599313494769301</v>
      </c>
      <c r="S12" s="1">
        <v>5</v>
      </c>
      <c r="T12">
        <v>3.4664227417543603E-2</v>
      </c>
      <c r="U12" s="2">
        <v>3.3166765887492802E-2</v>
      </c>
      <c r="V12" s="2">
        <v>-4.3199045287041403E-2</v>
      </c>
    </row>
    <row r="13" spans="1:22" x14ac:dyDescent="0.3">
      <c r="A13" t="s">
        <v>31</v>
      </c>
      <c r="C13">
        <v>6</v>
      </c>
      <c r="D13">
        <v>271</v>
      </c>
      <c r="E13">
        <v>29403</v>
      </c>
      <c r="F13" s="1">
        <v>9</v>
      </c>
      <c r="G13">
        <v>5.3013397548573801E-2</v>
      </c>
      <c r="H13">
        <v>6.4077128304525402E-2</v>
      </c>
      <c r="I13" s="2">
        <v>0.208696881685698</v>
      </c>
      <c r="J13" s="2">
        <f t="shared" si="0"/>
        <v>0</v>
      </c>
      <c r="K13" s="1">
        <v>8</v>
      </c>
      <c r="L13">
        <v>2.2216225168116801E-2</v>
      </c>
      <c r="M13">
        <v>2.23276185292169E-2</v>
      </c>
      <c r="N13" s="2">
        <v>5.0140543794973402E-3</v>
      </c>
      <c r="O13" s="1">
        <v>9</v>
      </c>
      <c r="P13">
        <v>7.8324253095474999E-2</v>
      </c>
      <c r="Q13">
        <v>7.7418840528729702E-2</v>
      </c>
      <c r="R13" s="2">
        <v>-1.1559798286766799E-2</v>
      </c>
      <c r="S13" s="1">
        <v>8</v>
      </c>
      <c r="T13">
        <v>0.10368133083499299</v>
      </c>
      <c r="U13" s="2">
        <v>9.5418888070997798E-2</v>
      </c>
      <c r="V13" s="2">
        <v>-7.9690747576772206E-2</v>
      </c>
    </row>
    <row r="14" spans="1:22" x14ac:dyDescent="0.3">
      <c r="A14" t="s">
        <v>32</v>
      </c>
      <c r="C14">
        <v>6</v>
      </c>
      <c r="D14">
        <v>115</v>
      </c>
      <c r="E14">
        <v>3741</v>
      </c>
      <c r="F14" s="1">
        <v>3</v>
      </c>
      <c r="G14">
        <v>0.168228796848929</v>
      </c>
      <c r="H14">
        <v>0.15453867228002699</v>
      </c>
      <c r="I14" s="2">
        <v>-8.1378009147841601E-2</v>
      </c>
      <c r="J14" s="2">
        <f t="shared" si="0"/>
        <v>1</v>
      </c>
      <c r="K14" s="1">
        <v>3</v>
      </c>
      <c r="L14">
        <v>0.153865171445907</v>
      </c>
      <c r="M14">
        <v>0.15258019063422201</v>
      </c>
      <c r="N14" s="2">
        <v>-8.3513429297185603E-3</v>
      </c>
      <c r="O14" s="1">
        <v>3</v>
      </c>
      <c r="P14">
        <v>0.152467346107167</v>
      </c>
      <c r="Q14">
        <v>0.149753586003122</v>
      </c>
      <c r="R14" s="2">
        <v>-1.7798959405626098E-2</v>
      </c>
      <c r="S14" s="1">
        <v>3</v>
      </c>
      <c r="T14">
        <v>0.165802043727897</v>
      </c>
      <c r="U14" s="2">
        <v>0.143997569352392</v>
      </c>
      <c r="V14" s="2">
        <v>-0.13150908086084301</v>
      </c>
    </row>
    <row r="15" spans="1:22" x14ac:dyDescent="0.3">
      <c r="A15" t="s">
        <v>33</v>
      </c>
      <c r="C15">
        <v>6</v>
      </c>
      <c r="D15">
        <v>115</v>
      </c>
      <c r="E15">
        <v>3741</v>
      </c>
      <c r="F15" s="1">
        <v>3</v>
      </c>
      <c r="G15">
        <v>0.207938518123679</v>
      </c>
      <c r="H15">
        <v>0.248874536476522</v>
      </c>
      <c r="I15" s="2">
        <v>0.19686597135646999</v>
      </c>
      <c r="J15" s="2">
        <f t="shared" si="0"/>
        <v>0</v>
      </c>
      <c r="K15" s="1">
        <v>3</v>
      </c>
      <c r="L15">
        <v>0.18624341514019699</v>
      </c>
      <c r="M15">
        <v>0.181661123987573</v>
      </c>
      <c r="N15" s="2">
        <v>-2.46037753827398E-2</v>
      </c>
      <c r="O15" s="1">
        <v>3</v>
      </c>
      <c r="P15">
        <v>0.18959348299297599</v>
      </c>
      <c r="Q15">
        <v>0.18626504852168099</v>
      </c>
      <c r="R15" s="2">
        <v>-1.7555637560698601E-2</v>
      </c>
      <c r="S15" s="1">
        <v>3</v>
      </c>
      <c r="T15">
        <v>0.242274431878543</v>
      </c>
      <c r="U15" s="2">
        <v>0.24004530224506801</v>
      </c>
      <c r="V15" s="2">
        <v>-9.2008455708267808E-3</v>
      </c>
    </row>
    <row r="16" spans="1:22" x14ac:dyDescent="0.3">
      <c r="A16" t="s">
        <v>34</v>
      </c>
      <c r="C16">
        <v>6</v>
      </c>
      <c r="D16">
        <v>118</v>
      </c>
      <c r="E16">
        <v>4005</v>
      </c>
      <c r="F16" s="1">
        <v>3</v>
      </c>
      <c r="G16">
        <v>0.118225684462366</v>
      </c>
      <c r="H16">
        <v>7.9734208262540907E-2</v>
      </c>
      <c r="I16" s="2">
        <v>-0.325576260140648</v>
      </c>
      <c r="J16" s="2">
        <f t="shared" si="0"/>
        <v>1</v>
      </c>
      <c r="K16" s="1">
        <v>2</v>
      </c>
      <c r="L16">
        <v>8.7339253317687396E-2</v>
      </c>
      <c r="M16">
        <v>4.55361005038094E-2</v>
      </c>
      <c r="N16" s="2">
        <v>-0.478629610695472</v>
      </c>
      <c r="O16" s="1">
        <v>4</v>
      </c>
      <c r="P16">
        <v>9.5247777398329694E-2</v>
      </c>
      <c r="Q16">
        <v>8.6532556120331394E-2</v>
      </c>
      <c r="R16" s="2">
        <v>-9.1500521230547804E-2</v>
      </c>
      <c r="S16" s="1">
        <v>4</v>
      </c>
      <c r="T16">
        <v>9.76844459645623E-2</v>
      </c>
      <c r="U16" s="2">
        <v>0.10168312857249</v>
      </c>
      <c r="V16" s="2">
        <v>4.0934690967883797E-2</v>
      </c>
    </row>
    <row r="17" spans="1:22" x14ac:dyDescent="0.3">
      <c r="A17" t="s">
        <v>35</v>
      </c>
      <c r="C17">
        <v>6</v>
      </c>
      <c r="D17">
        <v>165</v>
      </c>
      <c r="E17">
        <v>9316</v>
      </c>
      <c r="F17" s="1">
        <v>5</v>
      </c>
      <c r="G17">
        <v>3.9376501587118501E-2</v>
      </c>
      <c r="H17">
        <v>5.0044871693881499E-2</v>
      </c>
      <c r="I17" s="2">
        <v>0.27093240071517399</v>
      </c>
      <c r="J17" s="2">
        <f t="shared" si="0"/>
        <v>0</v>
      </c>
      <c r="K17" s="1">
        <v>4</v>
      </c>
      <c r="L17">
        <v>2.6328556215860201E-2</v>
      </c>
      <c r="M17">
        <v>2.8278242075984499E-2</v>
      </c>
      <c r="N17" s="2">
        <v>7.4052137312024202E-2</v>
      </c>
      <c r="O17" s="1">
        <v>4</v>
      </c>
      <c r="P17">
        <v>2.9046648375583801E-2</v>
      </c>
      <c r="Q17">
        <v>2.74172337508043E-2</v>
      </c>
      <c r="R17" s="2">
        <v>-5.6096476388963999E-2</v>
      </c>
      <c r="S17" s="1">
        <v>3</v>
      </c>
      <c r="T17">
        <v>3.5833417193138699E-2</v>
      </c>
      <c r="U17" s="2">
        <v>3.3451875018757099E-2</v>
      </c>
      <c r="V17" s="2">
        <v>-6.6461486537699996E-2</v>
      </c>
    </row>
    <row r="18" spans="1:22" x14ac:dyDescent="0.3">
      <c r="A18" t="s">
        <v>36</v>
      </c>
      <c r="C18">
        <v>6</v>
      </c>
      <c r="D18">
        <v>108</v>
      </c>
      <c r="E18">
        <v>3160</v>
      </c>
      <c r="F18" s="1">
        <v>3</v>
      </c>
      <c r="G18">
        <v>1.17857353527043E-2</v>
      </c>
      <c r="H18">
        <v>1.41424029294159E-2</v>
      </c>
      <c r="I18" s="2">
        <v>0.199959315747822</v>
      </c>
      <c r="J18" s="2">
        <f t="shared" si="0"/>
        <v>0</v>
      </c>
      <c r="K18" s="1">
        <v>4</v>
      </c>
      <c r="L18">
        <v>1.3736742143094701E-2</v>
      </c>
      <c r="M18">
        <v>6.1942010857709102E-3</v>
      </c>
      <c r="N18" s="2">
        <v>-0.54907786567977002</v>
      </c>
      <c r="O18" s="1">
        <v>3</v>
      </c>
      <c r="P18">
        <v>6.0105274396821E-2</v>
      </c>
      <c r="Q18">
        <v>5.4095371797708403E-2</v>
      </c>
      <c r="R18" s="2">
        <v>-9.9989604230647899E-2</v>
      </c>
      <c r="S18" s="1">
        <v>3</v>
      </c>
      <c r="T18">
        <v>8.3035975775795703E-2</v>
      </c>
      <c r="U18" s="2">
        <v>8.37972344731307E-2</v>
      </c>
      <c r="V18" s="2">
        <v>9.1678178069530894E-3</v>
      </c>
    </row>
    <row r="19" spans="1:22" x14ac:dyDescent="0.3">
      <c r="A19" t="s">
        <v>37</v>
      </c>
      <c r="C19">
        <v>6</v>
      </c>
      <c r="D19">
        <v>162</v>
      </c>
      <c r="E19">
        <v>8911</v>
      </c>
      <c r="F19" s="1">
        <v>4</v>
      </c>
      <c r="G19">
        <v>7.7114488703912507E-2</v>
      </c>
      <c r="H19">
        <v>6.3634776290570697E-2</v>
      </c>
      <c r="I19" s="2">
        <v>-0.17480129402268599</v>
      </c>
      <c r="J19" s="2">
        <f t="shared" si="0"/>
        <v>1</v>
      </c>
      <c r="K19" s="1">
        <v>5</v>
      </c>
      <c r="L19">
        <v>0.10663633570959601</v>
      </c>
      <c r="M19">
        <v>9.8772712007971802E-2</v>
      </c>
      <c r="N19" s="2">
        <v>-7.3742441066617703E-2</v>
      </c>
      <c r="O19" s="1">
        <v>5</v>
      </c>
      <c r="P19">
        <v>9.7620458287853998E-2</v>
      </c>
      <c r="Q19">
        <v>0.103697445602367</v>
      </c>
      <c r="R19" s="2">
        <v>6.2251165596812E-2</v>
      </c>
      <c r="S19" s="1">
        <v>5</v>
      </c>
      <c r="T19">
        <v>0.12323763593442</v>
      </c>
      <c r="U19" s="2">
        <v>0.114280617138944</v>
      </c>
      <c r="V19" s="2">
        <v>-7.2680871614922093E-2</v>
      </c>
    </row>
    <row r="20" spans="1:22" x14ac:dyDescent="0.3">
      <c r="A20" t="s">
        <v>38</v>
      </c>
      <c r="C20">
        <v>6</v>
      </c>
      <c r="D20">
        <v>116</v>
      </c>
      <c r="E20">
        <v>3828</v>
      </c>
      <c r="F20" s="1">
        <v>3</v>
      </c>
      <c r="G20">
        <v>4.6546988680813701E-2</v>
      </c>
      <c r="H20">
        <v>4.6922823357734199E-2</v>
      </c>
      <c r="I20" s="2">
        <v>8.07430700829595E-3</v>
      </c>
      <c r="J20" s="2">
        <f t="shared" si="0"/>
        <v>0</v>
      </c>
      <c r="K20" s="1">
        <v>4</v>
      </c>
      <c r="L20">
        <v>5.2297268228491102E-2</v>
      </c>
      <c r="M20">
        <v>5.6704358541691799E-2</v>
      </c>
      <c r="N20" s="2">
        <v>8.4269990813780005E-2</v>
      </c>
      <c r="O20" s="1">
        <v>3</v>
      </c>
      <c r="P20">
        <v>4.4420823344354897E-2</v>
      </c>
      <c r="Q20">
        <v>4.8793069655252298E-2</v>
      </c>
      <c r="R20" s="2">
        <v>9.8427853914441601E-2</v>
      </c>
      <c r="S20" s="1">
        <v>3</v>
      </c>
      <c r="T20">
        <v>4.3336071025410899E-2</v>
      </c>
      <c r="U20" s="2">
        <v>4.3392126588205002E-2</v>
      </c>
      <c r="V20" s="2">
        <v>1.2935081900079799E-3</v>
      </c>
    </row>
    <row r="21" spans="1:22" x14ac:dyDescent="0.3">
      <c r="A21" t="s">
        <v>39</v>
      </c>
      <c r="C21">
        <v>6</v>
      </c>
      <c r="D21">
        <v>181</v>
      </c>
      <c r="E21">
        <v>11628</v>
      </c>
      <c r="F21" s="1">
        <v>6</v>
      </c>
      <c r="G21">
        <v>0.20704301665892599</v>
      </c>
      <c r="H21">
        <v>0.14596464415014099</v>
      </c>
      <c r="I21" s="2">
        <v>-0.29500329687236998</v>
      </c>
      <c r="J21" s="2">
        <f t="shared" si="0"/>
        <v>1</v>
      </c>
      <c r="K21" s="1">
        <v>6</v>
      </c>
      <c r="L21">
        <v>0.30514611313750301</v>
      </c>
      <c r="M21">
        <v>0.32912351431361198</v>
      </c>
      <c r="N21" s="2">
        <v>7.8576787131824005E-2</v>
      </c>
      <c r="O21" s="1">
        <v>6</v>
      </c>
      <c r="P21">
        <v>0.16085190075702599</v>
      </c>
      <c r="Q21">
        <v>0.16927525941254501</v>
      </c>
      <c r="R21" s="2">
        <v>5.2367168904286499E-2</v>
      </c>
      <c r="S21" s="1">
        <v>6</v>
      </c>
      <c r="T21">
        <v>0.15712691144323401</v>
      </c>
      <c r="U21" s="2">
        <v>0.162088759753024</v>
      </c>
      <c r="V21" s="2">
        <v>3.1578602699021498E-2</v>
      </c>
    </row>
    <row r="22" spans="1:22" x14ac:dyDescent="0.3">
      <c r="A22" t="s">
        <v>40</v>
      </c>
      <c r="C22">
        <v>6</v>
      </c>
      <c r="D22">
        <v>118</v>
      </c>
      <c r="E22">
        <v>4005</v>
      </c>
      <c r="F22" s="1">
        <v>3</v>
      </c>
      <c r="G22">
        <v>0.280865965286962</v>
      </c>
      <c r="H22">
        <v>0.16974342752907101</v>
      </c>
      <c r="I22" s="2">
        <v>-0.39564258931962798</v>
      </c>
      <c r="J22" s="2">
        <f t="shared" si="0"/>
        <v>1</v>
      </c>
      <c r="K22" s="1">
        <v>2</v>
      </c>
      <c r="L22">
        <v>0.18155050680857801</v>
      </c>
      <c r="M22">
        <v>0.18893695038997199</v>
      </c>
      <c r="N22" s="2">
        <v>4.0685337161752697E-2</v>
      </c>
      <c r="O22" s="1">
        <v>2</v>
      </c>
      <c r="P22">
        <v>0.18611939189162299</v>
      </c>
      <c r="Q22">
        <v>0.20503033631079801</v>
      </c>
      <c r="R22" s="2">
        <v>0.10160652378547599</v>
      </c>
      <c r="S22" s="1">
        <v>3</v>
      </c>
      <c r="T22">
        <v>0.17979172968180199</v>
      </c>
      <c r="U22" s="2">
        <v>0.21296420920843601</v>
      </c>
      <c r="V22" s="2">
        <v>0.184505035828637</v>
      </c>
    </row>
    <row r="23" spans="1:22" x14ac:dyDescent="0.3">
      <c r="A23" t="s">
        <v>41</v>
      </c>
      <c r="C23">
        <v>6</v>
      </c>
      <c r="D23">
        <v>103</v>
      </c>
      <c r="E23">
        <v>2775</v>
      </c>
      <c r="F23" s="1">
        <v>3</v>
      </c>
      <c r="G23">
        <v>0.117404097856251</v>
      </c>
      <c r="H23">
        <v>0.119567077614358</v>
      </c>
      <c r="I23" s="2">
        <v>1.8423375313147701E-2</v>
      </c>
      <c r="J23" s="2">
        <f t="shared" si="0"/>
        <v>0</v>
      </c>
      <c r="K23" s="1">
        <v>3</v>
      </c>
      <c r="L23">
        <v>0.131234864571769</v>
      </c>
      <c r="M23">
        <v>0.14014798991623501</v>
      </c>
      <c r="N23" s="2">
        <v>6.7917358497306707E-2</v>
      </c>
      <c r="O23" s="1">
        <v>3</v>
      </c>
      <c r="P23">
        <v>0.124697251282212</v>
      </c>
      <c r="Q23">
        <v>0.13072381749037201</v>
      </c>
      <c r="R23" s="2">
        <v>4.8329583420575001E-2</v>
      </c>
      <c r="S23" s="1">
        <v>3</v>
      </c>
      <c r="T23">
        <v>0.13187944016355599</v>
      </c>
      <c r="U23" s="2">
        <v>0.13640615922129701</v>
      </c>
      <c r="V23" s="2">
        <v>3.4324676023249998E-2</v>
      </c>
    </row>
    <row r="24" spans="1:22" x14ac:dyDescent="0.3">
      <c r="A24" t="s">
        <v>42</v>
      </c>
      <c r="C24">
        <v>6</v>
      </c>
      <c r="D24">
        <v>114</v>
      </c>
      <c r="E24">
        <v>3655</v>
      </c>
      <c r="F24" s="1">
        <v>3</v>
      </c>
      <c r="G24">
        <v>5.1159837724445302E-2</v>
      </c>
      <c r="H24">
        <v>7.0263512405408193E-2</v>
      </c>
      <c r="I24" s="2">
        <v>0.37341155739895499</v>
      </c>
      <c r="J24" s="2">
        <f t="shared" si="0"/>
        <v>0</v>
      </c>
      <c r="K24" s="1">
        <v>3</v>
      </c>
      <c r="L24">
        <v>4.1821410151324102E-2</v>
      </c>
      <c r="M24">
        <v>4.2070789663765297E-2</v>
      </c>
      <c r="N24" s="2">
        <v>5.9629627872151703E-3</v>
      </c>
      <c r="O24" s="1">
        <v>3</v>
      </c>
      <c r="P24">
        <v>6.0785205707843799E-2</v>
      </c>
      <c r="Q24">
        <v>6.3290311414752096E-2</v>
      </c>
      <c r="R24" s="2">
        <v>4.1212424597996497E-2</v>
      </c>
      <c r="S24" s="1">
        <v>3</v>
      </c>
      <c r="T24">
        <v>5.3314042734846599E-2</v>
      </c>
      <c r="U24" s="2">
        <v>5.3598924343910198E-2</v>
      </c>
      <c r="V24" s="2">
        <v>5.3434628936406799E-3</v>
      </c>
    </row>
    <row r="25" spans="1:22" x14ac:dyDescent="0.3">
      <c r="A25" t="s">
        <v>43</v>
      </c>
      <c r="C25">
        <v>6</v>
      </c>
      <c r="D25">
        <v>167</v>
      </c>
      <c r="E25">
        <v>9591</v>
      </c>
      <c r="F25" s="1">
        <v>5</v>
      </c>
      <c r="G25">
        <v>0.19679790113894999</v>
      </c>
      <c r="H25">
        <v>0.21405480195529</v>
      </c>
      <c r="I25" s="2">
        <v>8.7688439340394594E-2</v>
      </c>
      <c r="J25" s="2">
        <f t="shared" si="0"/>
        <v>0</v>
      </c>
      <c r="K25" s="1">
        <v>4</v>
      </c>
      <c r="L25">
        <v>7.8120784548441805E-2</v>
      </c>
      <c r="M25">
        <v>4.1687320155779702E-2</v>
      </c>
      <c r="N25" s="2">
        <v>-0.46637350870522898</v>
      </c>
      <c r="O25" s="1">
        <v>5</v>
      </c>
      <c r="P25">
        <v>0.134335129881721</v>
      </c>
      <c r="Q25">
        <v>0.12575258441270501</v>
      </c>
      <c r="R25" s="2">
        <v>-6.3889062202658095E-2</v>
      </c>
      <c r="S25" s="1">
        <v>5</v>
      </c>
      <c r="T25">
        <v>0.152090229505323</v>
      </c>
      <c r="U25" s="2">
        <v>0.14838359954133401</v>
      </c>
      <c r="V25" s="2">
        <v>-2.4371256299926699E-2</v>
      </c>
    </row>
    <row r="26" spans="1:22" x14ac:dyDescent="0.3">
      <c r="A26" t="s">
        <v>44</v>
      </c>
      <c r="C26">
        <v>6</v>
      </c>
      <c r="D26">
        <v>106</v>
      </c>
      <c r="E26">
        <v>3003</v>
      </c>
      <c r="F26" s="1">
        <v>1</v>
      </c>
      <c r="G26">
        <v>0.14129551461385001</v>
      </c>
      <c r="H26">
        <v>0.14129551461385001</v>
      </c>
      <c r="I26" s="2">
        <v>0</v>
      </c>
      <c r="J26" s="2">
        <f t="shared" si="0"/>
        <v>0</v>
      </c>
      <c r="K26" s="1">
        <v>3</v>
      </c>
      <c r="L26">
        <v>0.118358997937923</v>
      </c>
      <c r="M26">
        <v>0.17936309385337801</v>
      </c>
      <c r="N26" s="2">
        <v>0.51541578568829904</v>
      </c>
      <c r="O26" s="1">
        <v>3</v>
      </c>
      <c r="P26">
        <v>0.11819698976312901</v>
      </c>
      <c r="Q26">
        <v>0.13720899064671099</v>
      </c>
      <c r="R26" s="2">
        <v>0.16085012758516501</v>
      </c>
      <c r="S26" s="1">
        <v>3</v>
      </c>
      <c r="T26" s="2">
        <v>9.9009056646798696E-2</v>
      </c>
      <c r="U26" s="2">
        <v>3.2954390522164999E-2</v>
      </c>
      <c r="V26" s="2">
        <v>-0.66715781729215595</v>
      </c>
    </row>
    <row r="27" spans="1:22" x14ac:dyDescent="0.3">
      <c r="A27" t="s">
        <v>45</v>
      </c>
      <c r="C27">
        <v>6</v>
      </c>
      <c r="D27">
        <v>122</v>
      </c>
      <c r="E27">
        <v>4371</v>
      </c>
      <c r="F27" s="1">
        <v>3</v>
      </c>
      <c r="G27">
        <v>0.12507607037753099</v>
      </c>
      <c r="H27">
        <v>5.0961387319776098E-2</v>
      </c>
      <c r="I27" s="2">
        <v>-0.59255685627192001</v>
      </c>
      <c r="J27" s="2">
        <f t="shared" si="0"/>
        <v>1</v>
      </c>
      <c r="K27" s="1">
        <v>2</v>
      </c>
      <c r="L27">
        <v>2.8475635110769601E-2</v>
      </c>
      <c r="M27">
        <v>3.7937443074341597E-2</v>
      </c>
      <c r="N27" s="2">
        <v>0.332277328557052</v>
      </c>
      <c r="O27" s="1">
        <v>2</v>
      </c>
      <c r="P27">
        <v>5.51254039499397E-2</v>
      </c>
      <c r="Q27">
        <v>4.9440030551341697E-2</v>
      </c>
      <c r="R27" s="2">
        <v>-0.103135269607475</v>
      </c>
      <c r="S27" s="1">
        <v>2</v>
      </c>
      <c r="T27">
        <v>7.9622527270866605E-2</v>
      </c>
      <c r="U27" s="2">
        <v>5.8154639818122501E-2</v>
      </c>
      <c r="V27" s="2">
        <v>-0.269620774278024</v>
      </c>
    </row>
    <row r="28" spans="1:22" x14ac:dyDescent="0.3">
      <c r="A28" t="s">
        <v>46</v>
      </c>
      <c r="C28">
        <v>6</v>
      </c>
      <c r="D28">
        <v>122</v>
      </c>
      <c r="E28">
        <v>4371</v>
      </c>
      <c r="F28" s="1">
        <v>2</v>
      </c>
      <c r="G28">
        <v>4.5567021135265999E-2</v>
      </c>
      <c r="H28">
        <v>2.35099093458616E-3</v>
      </c>
      <c r="I28" s="2">
        <v>-0.94840586731339604</v>
      </c>
      <c r="J28" s="2">
        <f t="shared" si="0"/>
        <v>1</v>
      </c>
      <c r="K28" s="1">
        <v>2</v>
      </c>
      <c r="L28">
        <v>4.1916527451815802E-2</v>
      </c>
      <c r="M28">
        <v>1.5999709484738101E-2</v>
      </c>
      <c r="N28" s="2">
        <v>-0.61829592150422596</v>
      </c>
      <c r="O28" s="1">
        <v>3</v>
      </c>
      <c r="P28">
        <v>5.9458957204514697E-2</v>
      </c>
      <c r="Q28">
        <v>5.2454576144081597E-2</v>
      </c>
      <c r="R28" s="2">
        <v>-0.117801949273022</v>
      </c>
      <c r="S28" s="1">
        <v>3</v>
      </c>
      <c r="T28">
        <v>8.22622730785003E-2</v>
      </c>
      <c r="U28" s="2">
        <v>7.9440762176908694E-2</v>
      </c>
      <c r="V28" s="2">
        <v>-3.42989659293658E-2</v>
      </c>
    </row>
    <row r="29" spans="1:22" x14ac:dyDescent="0.3">
      <c r="A29" t="s">
        <v>47</v>
      </c>
      <c r="C29">
        <v>6</v>
      </c>
      <c r="D29">
        <v>338</v>
      </c>
      <c r="E29">
        <v>47895</v>
      </c>
      <c r="F29" s="1">
        <v>4</v>
      </c>
      <c r="G29">
        <v>9.1118104421100493E-2</v>
      </c>
      <c r="H29">
        <v>8.8506707634526796E-2</v>
      </c>
      <c r="I29" s="2">
        <v>-2.8659472265853601E-2</v>
      </c>
      <c r="J29" s="2">
        <f t="shared" si="0"/>
        <v>1</v>
      </c>
      <c r="K29" s="1">
        <v>4</v>
      </c>
      <c r="L29">
        <v>4.3296741079794802E-2</v>
      </c>
      <c r="M29">
        <v>4.7078806080618797E-2</v>
      </c>
      <c r="N29" s="2">
        <v>8.7352186481049907E-2</v>
      </c>
      <c r="O29" s="1">
        <v>6</v>
      </c>
      <c r="P29">
        <v>4.6603118589078799E-2</v>
      </c>
      <c r="Q29">
        <v>4.4916844705779099E-2</v>
      </c>
      <c r="R29" s="2">
        <v>-3.6183713329753897E-2</v>
      </c>
      <c r="S29" s="1">
        <v>4</v>
      </c>
      <c r="T29">
        <v>2.36243321228683E-2</v>
      </c>
      <c r="U29" s="2">
        <v>0.34541487024044099</v>
      </c>
      <c r="V29" s="2">
        <v>13.621148587141599</v>
      </c>
    </row>
    <row r="30" spans="1:22" x14ac:dyDescent="0.3">
      <c r="A30" t="s">
        <v>48</v>
      </c>
      <c r="C30">
        <v>6</v>
      </c>
      <c r="D30">
        <v>122</v>
      </c>
      <c r="E30">
        <v>4371</v>
      </c>
      <c r="F30" s="1">
        <v>4</v>
      </c>
      <c r="G30">
        <v>0.169843700018423</v>
      </c>
      <c r="H30">
        <v>0.13285499574565501</v>
      </c>
      <c r="I30" s="2">
        <v>-0.21778084361537101</v>
      </c>
      <c r="J30" s="2">
        <f t="shared" si="0"/>
        <v>1</v>
      </c>
      <c r="K30" s="1">
        <v>4</v>
      </c>
      <c r="L30">
        <v>0.107830056243577</v>
      </c>
      <c r="M30">
        <v>0.10180973667391199</v>
      </c>
      <c r="N30" s="2">
        <v>-5.5831553644616401E-2</v>
      </c>
      <c r="O30" s="1">
        <v>4</v>
      </c>
      <c r="P30">
        <v>0.111798487443344</v>
      </c>
      <c r="Q30">
        <v>0.123648415457237</v>
      </c>
      <c r="R30" s="2">
        <v>0.105993634483635</v>
      </c>
      <c r="S30" s="1">
        <v>4</v>
      </c>
      <c r="T30">
        <v>8.0770050100261295E-2</v>
      </c>
      <c r="U30" s="2">
        <v>7.1977688459691297E-2</v>
      </c>
      <c r="V30" s="2">
        <v>-0.108856706534859</v>
      </c>
    </row>
    <row r="31" spans="1:22" x14ac:dyDescent="0.3">
      <c r="A31" t="s">
        <v>49</v>
      </c>
      <c r="C31">
        <v>6</v>
      </c>
      <c r="D31">
        <v>194</v>
      </c>
      <c r="E31">
        <v>13695</v>
      </c>
      <c r="F31" s="1">
        <v>6</v>
      </c>
      <c r="G31">
        <v>9.0616945514367303E-2</v>
      </c>
      <c r="H31">
        <v>4.0110825121993397E-2</v>
      </c>
      <c r="I31" s="2">
        <v>-0.55735845106769899</v>
      </c>
      <c r="J31" s="2">
        <f t="shared" si="0"/>
        <v>1</v>
      </c>
      <c r="K31" s="1">
        <v>6</v>
      </c>
      <c r="L31">
        <v>5.5702012067856702E-2</v>
      </c>
      <c r="M31">
        <v>2.8768207377710499E-2</v>
      </c>
      <c r="N31" s="2">
        <v>-0.48353378433323202</v>
      </c>
      <c r="O31" s="1">
        <v>5</v>
      </c>
      <c r="P31">
        <v>6.57522565879715E-2</v>
      </c>
      <c r="Q31">
        <v>5.3617813587763699E-2</v>
      </c>
      <c r="R31" s="2">
        <v>-0.18454793234316999</v>
      </c>
      <c r="S31" s="1">
        <v>3</v>
      </c>
      <c r="T31">
        <v>6.3655201907632505E-2</v>
      </c>
      <c r="U31" s="2">
        <v>4.17497038736757E-2</v>
      </c>
      <c r="V31" s="2">
        <v>-0.34412738279807698</v>
      </c>
    </row>
    <row r="32" spans="1:22" x14ac:dyDescent="0.3">
      <c r="I32" s="2"/>
      <c r="J32" s="2"/>
      <c r="N32" s="2"/>
      <c r="R32" s="2"/>
      <c r="V32" s="2"/>
    </row>
    <row r="33" spans="1:22" x14ac:dyDescent="0.3">
      <c r="A33" t="s">
        <v>77</v>
      </c>
      <c r="I33" s="2">
        <f>AVERAGE(I2:I31)</f>
        <v>-2.7976455301263688E-2</v>
      </c>
      <c r="J33" s="2">
        <f>AVERAGE(J2:J31)</f>
        <v>0.5</v>
      </c>
      <c r="N33" s="2">
        <f>AVERAGE(N2:N31)</f>
        <v>-6.5695389598278406E-2</v>
      </c>
      <c r="R33" s="2">
        <f>AVERAGE(R2:R31)</f>
        <v>1.1085944678338981E-2</v>
      </c>
      <c r="V33" s="2">
        <f>AVERAGE(V2:V31)</f>
        <v>0.43467453923895705</v>
      </c>
    </row>
    <row r="34" spans="1:22" x14ac:dyDescent="0.3">
      <c r="I34" s="2"/>
      <c r="J34" s="2"/>
      <c r="N34" s="2"/>
      <c r="R34" s="2"/>
      <c r="V34" s="2"/>
    </row>
    <row r="35" spans="1:22" x14ac:dyDescent="0.3">
      <c r="A35" t="s">
        <v>50</v>
      </c>
      <c r="C35">
        <v>6</v>
      </c>
      <c r="D35">
        <v>135</v>
      </c>
      <c r="E35">
        <v>5671</v>
      </c>
      <c r="F35" s="1">
        <v>4</v>
      </c>
      <c r="G35">
        <v>2.3617509988399399E-2</v>
      </c>
      <c r="H35">
        <v>9.5068858863027808E-3</v>
      </c>
      <c r="I35" s="2">
        <v>-0.59746451294093095</v>
      </c>
      <c r="J35" s="2"/>
      <c r="K35" s="1">
        <v>4</v>
      </c>
      <c r="L35">
        <v>7.2759275847111803E-3</v>
      </c>
      <c r="M35">
        <v>7.4741931831773696E-3</v>
      </c>
      <c r="N35" s="2">
        <v>2.7249528827471298E-2</v>
      </c>
      <c r="O35" s="1">
        <v>4</v>
      </c>
      <c r="P35">
        <v>1.9531533004165099E-2</v>
      </c>
      <c r="Q35">
        <v>2.0996517542804599E-2</v>
      </c>
      <c r="R35" s="2">
        <v>7.5006121553645499E-2</v>
      </c>
      <c r="S35" s="1">
        <v>2</v>
      </c>
      <c r="T35">
        <v>3.6529782775668901E-2</v>
      </c>
      <c r="U35">
        <v>3.77875423753085E-2</v>
      </c>
      <c r="V35" s="2">
        <v>3.44310725131768E-2</v>
      </c>
    </row>
    <row r="36" spans="1:22" x14ac:dyDescent="0.3">
      <c r="A36" t="s">
        <v>51</v>
      </c>
      <c r="C36">
        <v>6</v>
      </c>
      <c r="D36">
        <v>134</v>
      </c>
      <c r="E36">
        <v>5565</v>
      </c>
      <c r="F36" s="1">
        <v>3</v>
      </c>
      <c r="G36">
        <v>2.01008112025426E-2</v>
      </c>
      <c r="H36">
        <v>5.9001498155509501E-2</v>
      </c>
      <c r="I36" s="2">
        <v>1.9352794551916399</v>
      </c>
      <c r="J36" s="2"/>
      <c r="K36" s="1">
        <v>4</v>
      </c>
      <c r="L36">
        <v>4.2956039882134797E-2</v>
      </c>
      <c r="M36">
        <v>1.9333437627914899E-2</v>
      </c>
      <c r="N36" s="2">
        <v>-0.54992504707223699</v>
      </c>
      <c r="O36" s="1">
        <v>3</v>
      </c>
      <c r="P36">
        <v>3.1999620012476603E-2</v>
      </c>
      <c r="Q36">
        <v>4.02103323475939E-2</v>
      </c>
      <c r="R36" s="2">
        <v>0.25658780735258302</v>
      </c>
      <c r="S36" s="1">
        <v>3</v>
      </c>
      <c r="T36">
        <v>1.3661918989575099E-2</v>
      </c>
      <c r="U36">
        <v>2.9591836469985599E-2</v>
      </c>
      <c r="V36" s="2">
        <v>1.1660087790423801</v>
      </c>
    </row>
    <row r="37" spans="1:22" x14ac:dyDescent="0.3">
      <c r="A37" t="s">
        <v>52</v>
      </c>
      <c r="C37">
        <v>6</v>
      </c>
      <c r="D37">
        <v>134</v>
      </c>
      <c r="E37">
        <v>5565</v>
      </c>
      <c r="F37" s="1">
        <v>4</v>
      </c>
      <c r="G37">
        <v>0.118664157392585</v>
      </c>
      <c r="H37">
        <v>0.147285783805578</v>
      </c>
      <c r="I37" s="2">
        <v>0.24119858128939001</v>
      </c>
      <c r="J37" s="2"/>
      <c r="K37" s="1">
        <v>4</v>
      </c>
      <c r="L37">
        <v>0.109567781055709</v>
      </c>
      <c r="M37">
        <v>0.14833058141441599</v>
      </c>
      <c r="N37" s="2">
        <v>0.35377918568049299</v>
      </c>
      <c r="O37" s="1">
        <v>4</v>
      </c>
      <c r="P37">
        <v>7.4754155259116106E-2</v>
      </c>
      <c r="Q37">
        <v>9.1157452892124902E-2</v>
      </c>
      <c r="R37" s="2">
        <v>0.21942991096817299</v>
      </c>
      <c r="S37" s="1">
        <v>4</v>
      </c>
      <c r="T37">
        <v>5.5346467402030898E-2</v>
      </c>
      <c r="U37">
        <v>5.51517247358351E-2</v>
      </c>
      <c r="V37" s="2">
        <v>-3.5186105877588999E-3</v>
      </c>
    </row>
    <row r="38" spans="1:22" x14ac:dyDescent="0.3">
      <c r="A38" t="s">
        <v>53</v>
      </c>
      <c r="C38">
        <v>6</v>
      </c>
      <c r="D38">
        <v>135</v>
      </c>
      <c r="E38">
        <v>5671</v>
      </c>
      <c r="F38" s="1">
        <v>3</v>
      </c>
      <c r="G38">
        <v>8.3096721525894507E-2</v>
      </c>
      <c r="H38">
        <v>6.1125229233729601E-2</v>
      </c>
      <c r="I38" s="2">
        <v>-0.26440865402034103</v>
      </c>
      <c r="J38" s="2"/>
      <c r="K38" s="1">
        <v>2</v>
      </c>
      <c r="L38">
        <v>5.0923571099474603E-2</v>
      </c>
      <c r="M38">
        <v>6.6649575071418499E-2</v>
      </c>
      <c r="N38" s="2">
        <v>0.30881581225371102</v>
      </c>
      <c r="O38" s="1">
        <v>4</v>
      </c>
      <c r="P38">
        <v>5.0828644414666502E-2</v>
      </c>
      <c r="Q38">
        <v>5.7688429756452601E-2</v>
      </c>
      <c r="R38" s="2">
        <v>0.134959045648022</v>
      </c>
      <c r="S38" s="1">
        <v>2</v>
      </c>
      <c r="T38">
        <v>5.5571396227213202E-2</v>
      </c>
      <c r="U38">
        <v>5.5217899032689297E-2</v>
      </c>
      <c r="V38" s="2">
        <v>-6.3611357375047096E-3</v>
      </c>
    </row>
    <row r="39" spans="1:22" x14ac:dyDescent="0.3">
      <c r="A39" t="s">
        <v>54</v>
      </c>
      <c r="C39">
        <v>6</v>
      </c>
      <c r="D39">
        <v>135</v>
      </c>
      <c r="E39">
        <v>5671</v>
      </c>
      <c r="F39" s="1">
        <v>3</v>
      </c>
      <c r="G39">
        <v>4.4280007034145703E-2</v>
      </c>
      <c r="H39">
        <v>5.3342802057019398E-2</v>
      </c>
      <c r="I39" s="2">
        <v>0.204670135121817</v>
      </c>
      <c r="J39" s="2"/>
      <c r="K39" s="1">
        <v>4</v>
      </c>
      <c r="L39">
        <v>2.3962073474824201E-2</v>
      </c>
      <c r="M39">
        <v>2.23339047061589E-2</v>
      </c>
      <c r="N39" s="2">
        <v>-6.7947741266044095E-2</v>
      </c>
      <c r="O39" s="1">
        <v>4</v>
      </c>
      <c r="P39">
        <v>4.56456668561038E-2</v>
      </c>
      <c r="Q39">
        <v>4.2601786371705197E-2</v>
      </c>
      <c r="R39" s="2">
        <v>-6.6684982256789899E-2</v>
      </c>
      <c r="S39" s="1">
        <v>3</v>
      </c>
      <c r="T39">
        <v>5.0791657229278801E-2</v>
      </c>
      <c r="U39">
        <v>5.0405280118689902E-2</v>
      </c>
      <c r="V39" s="2">
        <v>-7.6070979303706097E-3</v>
      </c>
    </row>
    <row r="40" spans="1:22" x14ac:dyDescent="0.3">
      <c r="A40" t="s">
        <v>55</v>
      </c>
      <c r="C40">
        <v>6</v>
      </c>
      <c r="D40">
        <v>104</v>
      </c>
      <c r="E40">
        <v>2850</v>
      </c>
      <c r="F40" s="1">
        <v>1</v>
      </c>
      <c r="G40">
        <v>0.122529729737911</v>
      </c>
      <c r="H40">
        <v>0.122529729737911</v>
      </c>
      <c r="I40" s="2">
        <v>0</v>
      </c>
      <c r="J40" s="2"/>
      <c r="K40" s="1">
        <v>1</v>
      </c>
      <c r="L40">
        <v>0.103009771080037</v>
      </c>
      <c r="M40">
        <v>0.103009771080037</v>
      </c>
      <c r="N40" s="2">
        <v>0</v>
      </c>
      <c r="O40" s="1">
        <v>2</v>
      </c>
      <c r="P40">
        <v>9.8949212153804506E-2</v>
      </c>
      <c r="Q40">
        <v>0.117543580187258</v>
      </c>
      <c r="R40" s="2">
        <v>0.18791830302349</v>
      </c>
      <c r="S40" s="1">
        <v>1</v>
      </c>
      <c r="T40">
        <v>0.13287872067121101</v>
      </c>
      <c r="U40">
        <v>0.13287872067121101</v>
      </c>
      <c r="V40" s="2">
        <v>0</v>
      </c>
    </row>
    <row r="41" spans="1:22" x14ac:dyDescent="0.3">
      <c r="A41" t="s">
        <v>56</v>
      </c>
      <c r="C41">
        <v>6</v>
      </c>
      <c r="D41">
        <v>133</v>
      </c>
      <c r="E41">
        <v>5460</v>
      </c>
      <c r="F41" s="1">
        <v>1</v>
      </c>
      <c r="G41">
        <v>4.5098128710134702E-2</v>
      </c>
      <c r="H41">
        <v>4.5098128710134702E-2</v>
      </c>
      <c r="I41" s="2">
        <v>0</v>
      </c>
      <c r="J41" s="2"/>
      <c r="K41" s="1">
        <v>3</v>
      </c>
      <c r="L41">
        <v>4.2283856879152003E-2</v>
      </c>
      <c r="M41">
        <v>4.3148150884457601E-2</v>
      </c>
      <c r="N41" s="2">
        <v>2.04402831032135E-2</v>
      </c>
      <c r="O41" s="1">
        <v>1</v>
      </c>
      <c r="P41">
        <v>4.3443227743933999E-2</v>
      </c>
      <c r="Q41">
        <v>4.3443227743933999E-2</v>
      </c>
      <c r="R41" s="2">
        <v>0</v>
      </c>
      <c r="S41" s="1">
        <v>3</v>
      </c>
      <c r="T41">
        <v>6.6735501866872604E-2</v>
      </c>
      <c r="U41">
        <v>7.3652789824367099E-2</v>
      </c>
      <c r="V41" s="2">
        <v>0.103652295464764</v>
      </c>
    </row>
    <row r="42" spans="1:22" x14ac:dyDescent="0.3">
      <c r="A42" t="s">
        <v>57</v>
      </c>
      <c r="C42">
        <v>6</v>
      </c>
      <c r="D42">
        <v>134</v>
      </c>
      <c r="E42">
        <v>5565</v>
      </c>
      <c r="F42" s="1">
        <v>2</v>
      </c>
      <c r="G42">
        <v>2.0973509310908901E-2</v>
      </c>
      <c r="H42">
        <v>3.4022437444740601E-2</v>
      </c>
      <c r="I42" s="2">
        <v>0.62216236398000202</v>
      </c>
      <c r="J42" s="2"/>
      <c r="K42" s="1">
        <v>3</v>
      </c>
      <c r="L42">
        <v>1.9561013576034601E-2</v>
      </c>
      <c r="M42">
        <v>2.1810302878038101E-2</v>
      </c>
      <c r="N42" s="2">
        <v>0.114988382031456</v>
      </c>
      <c r="O42" s="1">
        <v>2</v>
      </c>
      <c r="P42">
        <v>3.2653266235668499E-2</v>
      </c>
      <c r="Q42">
        <v>3.26841635775613E-2</v>
      </c>
      <c r="R42" s="2">
        <v>9.4622515462370899E-4</v>
      </c>
      <c r="S42" s="1">
        <v>1</v>
      </c>
      <c r="T42">
        <v>6.0920409625722302E-2</v>
      </c>
      <c r="U42">
        <v>6.0920409625722302E-2</v>
      </c>
      <c r="V42" s="2">
        <v>0</v>
      </c>
    </row>
    <row r="43" spans="1:22" x14ac:dyDescent="0.3">
      <c r="A43" t="s">
        <v>58</v>
      </c>
      <c r="C43">
        <v>6</v>
      </c>
      <c r="D43">
        <v>143</v>
      </c>
      <c r="E43">
        <v>6555</v>
      </c>
      <c r="F43" s="1">
        <v>2</v>
      </c>
      <c r="G43">
        <v>3.2319661558453901E-2</v>
      </c>
      <c r="H43">
        <v>5.5122879828394797E-2</v>
      </c>
      <c r="I43" s="2">
        <v>0.70555250798955504</v>
      </c>
      <c r="J43" s="2"/>
      <c r="K43" s="1">
        <v>1</v>
      </c>
      <c r="L43">
        <v>4.4840512549768598E-2</v>
      </c>
      <c r="M43">
        <v>4.4840512549768598E-2</v>
      </c>
      <c r="N43" s="2">
        <v>0</v>
      </c>
      <c r="O43" s="1">
        <v>1</v>
      </c>
      <c r="P43">
        <v>5.3176403833339901E-2</v>
      </c>
      <c r="Q43">
        <v>5.3176403833339901E-2</v>
      </c>
      <c r="R43" s="2">
        <v>0</v>
      </c>
      <c r="S43" s="1">
        <v>1</v>
      </c>
      <c r="T43">
        <v>7.0117181128611303E-2</v>
      </c>
      <c r="U43">
        <v>7.0117181128611303E-2</v>
      </c>
      <c r="V43" s="2">
        <v>0</v>
      </c>
    </row>
    <row r="44" spans="1:22" x14ac:dyDescent="0.3">
      <c r="A44" t="s">
        <v>59</v>
      </c>
      <c r="C44">
        <v>6</v>
      </c>
      <c r="D44">
        <v>134</v>
      </c>
      <c r="E44">
        <v>5565</v>
      </c>
      <c r="F44" s="1">
        <v>4</v>
      </c>
      <c r="G44">
        <v>2.03983315327688E-2</v>
      </c>
      <c r="H44">
        <v>1.6324392061582801E-2</v>
      </c>
      <c r="I44" s="2">
        <v>-0.199719249814202</v>
      </c>
      <c r="J44" s="2"/>
      <c r="K44" s="1">
        <v>4</v>
      </c>
      <c r="L44">
        <v>3.10218808995248E-2</v>
      </c>
      <c r="M44">
        <v>2.6843364846215599E-2</v>
      </c>
      <c r="N44" s="2">
        <v>-0.13469576737924899</v>
      </c>
      <c r="O44" s="1">
        <v>2</v>
      </c>
      <c r="P44">
        <v>2.10119828597819E-2</v>
      </c>
      <c r="Q44">
        <v>2.5213716035237099E-2</v>
      </c>
      <c r="R44" s="2">
        <v>0.19996842770595799</v>
      </c>
      <c r="S44" s="1">
        <v>3</v>
      </c>
      <c r="T44">
        <v>1.57293641149714E-2</v>
      </c>
      <c r="U44">
        <v>1.55855483682493E-2</v>
      </c>
      <c r="V44" s="2">
        <v>-9.1431379978797606E-3</v>
      </c>
    </row>
    <row r="45" spans="1:22" x14ac:dyDescent="0.3">
      <c r="A45" t="s">
        <v>60</v>
      </c>
      <c r="C45">
        <v>6</v>
      </c>
      <c r="D45">
        <v>134</v>
      </c>
      <c r="E45">
        <v>5565</v>
      </c>
      <c r="F45" s="1">
        <v>4</v>
      </c>
      <c r="G45">
        <v>0.15696487795768499</v>
      </c>
      <c r="H45">
        <v>0.15298553418925401</v>
      </c>
      <c r="I45" s="2">
        <v>-2.5351810036790799E-2</v>
      </c>
      <c r="J45" s="2"/>
      <c r="K45" s="1">
        <v>4</v>
      </c>
      <c r="L45">
        <v>0.117169185150413</v>
      </c>
      <c r="M45">
        <v>9.9506875832574199E-2</v>
      </c>
      <c r="N45" s="2">
        <v>-0.15074193180711701</v>
      </c>
      <c r="O45" s="1">
        <v>3</v>
      </c>
      <c r="P45">
        <v>0.115348063923346</v>
      </c>
      <c r="Q45">
        <v>0.11523406861031001</v>
      </c>
      <c r="R45" s="2">
        <v>-9.8827244393105609E-4</v>
      </c>
      <c r="S45" s="1">
        <v>4</v>
      </c>
      <c r="T45">
        <v>0.122525830186562</v>
      </c>
      <c r="U45">
        <v>0.13592988687435301</v>
      </c>
      <c r="V45" s="2">
        <v>0.109397803445869</v>
      </c>
    </row>
    <row r="46" spans="1:22" x14ac:dyDescent="0.3">
      <c r="A46" t="s">
        <v>61</v>
      </c>
      <c r="C46">
        <v>6</v>
      </c>
      <c r="D46">
        <v>134</v>
      </c>
      <c r="E46">
        <v>5565</v>
      </c>
      <c r="F46" s="1">
        <v>3</v>
      </c>
      <c r="G46">
        <v>0.311881997382216</v>
      </c>
      <c r="H46">
        <v>0.28326980543434499</v>
      </c>
      <c r="I46" s="2">
        <v>-9.1740440897608397E-2</v>
      </c>
      <c r="J46" s="2"/>
      <c r="K46" s="1">
        <v>4</v>
      </c>
      <c r="L46">
        <v>0.24235436878141201</v>
      </c>
      <c r="M46">
        <v>0.32475009800224602</v>
      </c>
      <c r="N46" s="2">
        <v>0.339980375163563</v>
      </c>
      <c r="O46" s="1">
        <v>4</v>
      </c>
      <c r="P46">
        <v>0.25160709134850601</v>
      </c>
      <c r="Q46">
        <v>0.300752050927516</v>
      </c>
      <c r="R46" s="2">
        <v>0.19532422284130899</v>
      </c>
      <c r="S46" s="1">
        <v>4</v>
      </c>
      <c r="T46">
        <v>0.301595109520927</v>
      </c>
      <c r="U46">
        <v>0.395433818363152</v>
      </c>
      <c r="V46" s="2">
        <v>0.31114134772040702</v>
      </c>
    </row>
    <row r="47" spans="1:22" x14ac:dyDescent="0.3">
      <c r="A47" t="s">
        <v>62</v>
      </c>
      <c r="C47">
        <v>6</v>
      </c>
      <c r="D47">
        <v>144</v>
      </c>
      <c r="E47">
        <v>6670</v>
      </c>
      <c r="F47" s="1">
        <v>4</v>
      </c>
      <c r="G47">
        <v>7.9412811355483101E-2</v>
      </c>
      <c r="H47">
        <v>8.0867353584200996E-2</v>
      </c>
      <c r="I47" s="2">
        <v>1.8316216286648201E-2</v>
      </c>
      <c r="J47" s="2"/>
      <c r="K47" s="1">
        <v>3</v>
      </c>
      <c r="L47">
        <v>0.10117034636380599</v>
      </c>
      <c r="M47">
        <v>4.7006681399654103E-2</v>
      </c>
      <c r="N47" s="2">
        <v>-0.53537095513522104</v>
      </c>
      <c r="O47" s="1">
        <v>4</v>
      </c>
      <c r="P47">
        <v>9.0410071684688897E-2</v>
      </c>
      <c r="Q47">
        <v>0.102069344107081</v>
      </c>
      <c r="R47" s="2">
        <v>0.128959884724518</v>
      </c>
      <c r="S47" s="1">
        <v>3</v>
      </c>
      <c r="T47">
        <v>5.8028851689104599E-2</v>
      </c>
      <c r="U47">
        <v>5.7755036778061999E-2</v>
      </c>
      <c r="V47" s="2">
        <v>-4.7185995082159203E-3</v>
      </c>
    </row>
    <row r="48" spans="1:22" x14ac:dyDescent="0.3">
      <c r="A48" t="s">
        <v>63</v>
      </c>
      <c r="C48">
        <v>6</v>
      </c>
      <c r="D48">
        <v>144</v>
      </c>
      <c r="E48">
        <v>6670</v>
      </c>
      <c r="F48" s="1">
        <v>2</v>
      </c>
      <c r="G48">
        <v>0.101941963606062</v>
      </c>
      <c r="H48">
        <v>6.68273236170428E-2</v>
      </c>
      <c r="I48" s="2">
        <v>-0.34445716706727603</v>
      </c>
      <c r="J48" s="2"/>
      <c r="K48" s="1">
        <v>2</v>
      </c>
      <c r="L48">
        <v>8.0758043772133997E-2</v>
      </c>
      <c r="M48">
        <v>0.10494560673423201</v>
      </c>
      <c r="N48" s="2">
        <v>0.29950654860271098</v>
      </c>
      <c r="O48" s="1">
        <v>2</v>
      </c>
      <c r="P48">
        <v>9.3017333154012199E-2</v>
      </c>
      <c r="Q48">
        <v>9.9165772686642298E-2</v>
      </c>
      <c r="R48" s="2">
        <v>6.6099933465624802E-2</v>
      </c>
      <c r="S48" s="1">
        <v>2</v>
      </c>
      <c r="T48">
        <v>7.2157962131284697E-2</v>
      </c>
      <c r="U48">
        <v>0.108395766884624</v>
      </c>
      <c r="V48" s="2">
        <v>0.50220105561474004</v>
      </c>
    </row>
    <row r="49" spans="1:22" x14ac:dyDescent="0.3">
      <c r="A49" t="s">
        <v>64</v>
      </c>
      <c r="C49">
        <v>6</v>
      </c>
      <c r="D49">
        <v>144</v>
      </c>
      <c r="E49">
        <v>6670</v>
      </c>
      <c r="F49" s="1">
        <v>5</v>
      </c>
      <c r="G49">
        <v>3.1342917208226198E-2</v>
      </c>
      <c r="H49">
        <v>3.2013457295375199E-2</v>
      </c>
      <c r="I49" s="2">
        <v>2.1393671900234501E-2</v>
      </c>
      <c r="J49" s="2"/>
      <c r="K49" s="1">
        <v>5</v>
      </c>
      <c r="L49">
        <v>4.1740820161021097E-2</v>
      </c>
      <c r="M49">
        <v>4.7681875617791102E-2</v>
      </c>
      <c r="N49" s="2">
        <v>0.142332024954265</v>
      </c>
      <c r="O49" s="1">
        <v>5</v>
      </c>
      <c r="P49">
        <v>2.8500873796687899E-2</v>
      </c>
      <c r="Q49">
        <v>3.3409344258217198E-2</v>
      </c>
      <c r="R49" s="2">
        <v>0.17222175349935401</v>
      </c>
      <c r="S49" s="1">
        <v>5</v>
      </c>
      <c r="T49">
        <v>7.1943430187662999E-2</v>
      </c>
      <c r="U49">
        <v>4.72813320609572E-2</v>
      </c>
      <c r="V49" s="2">
        <v>-0.34279847461227803</v>
      </c>
    </row>
    <row r="50" spans="1:22" x14ac:dyDescent="0.3">
      <c r="A50" t="s">
        <v>65</v>
      </c>
      <c r="C50">
        <v>6</v>
      </c>
      <c r="D50">
        <v>132</v>
      </c>
      <c r="E50">
        <v>5356</v>
      </c>
      <c r="F50" s="1">
        <v>2</v>
      </c>
      <c r="G50">
        <v>0.116857116866975</v>
      </c>
      <c r="H50">
        <v>0.116427475673246</v>
      </c>
      <c r="I50" s="2">
        <v>-3.67663694987786E-3</v>
      </c>
      <c r="J50" s="2"/>
      <c r="K50" s="1">
        <v>4</v>
      </c>
      <c r="L50">
        <v>8.1585293103183396E-2</v>
      </c>
      <c r="M50">
        <v>9.26478598050266E-2</v>
      </c>
      <c r="N50" s="2">
        <v>0.13559510888625501</v>
      </c>
      <c r="O50" s="1">
        <v>4</v>
      </c>
      <c r="P50">
        <v>9.9506854050745303E-2</v>
      </c>
      <c r="Q50">
        <v>9.5883557279730303E-2</v>
      </c>
      <c r="R50" s="2">
        <v>-3.6412534649795998E-2</v>
      </c>
      <c r="S50" s="1">
        <v>4</v>
      </c>
      <c r="T50">
        <v>8.6592746002940799E-2</v>
      </c>
      <c r="U50">
        <v>7.9289686392074898E-2</v>
      </c>
      <c r="V50" s="2">
        <v>-8.4338006911316293E-2</v>
      </c>
    </row>
    <row r="51" spans="1:22" x14ac:dyDescent="0.3">
      <c r="A51" t="s">
        <v>66</v>
      </c>
      <c r="C51">
        <v>6</v>
      </c>
      <c r="D51">
        <v>108</v>
      </c>
      <c r="E51">
        <v>3160</v>
      </c>
      <c r="F51" s="1">
        <v>2</v>
      </c>
      <c r="G51">
        <v>2.06470253272329E-2</v>
      </c>
      <c r="H51">
        <v>1.7762181196912499E-2</v>
      </c>
      <c r="I51" s="2">
        <v>-0.13972202216051799</v>
      </c>
      <c r="J51" s="2"/>
      <c r="K51" s="1">
        <v>2</v>
      </c>
      <c r="L51">
        <v>7.0398513320094405E-2</v>
      </c>
      <c r="M51">
        <v>7.1131660621964493E-2</v>
      </c>
      <c r="N51" s="2">
        <v>1.04142440982616E-2</v>
      </c>
      <c r="O51" s="1">
        <v>3</v>
      </c>
      <c r="P51">
        <v>5.4901074324783999E-2</v>
      </c>
      <c r="Q51">
        <v>5.6868050890522798E-2</v>
      </c>
      <c r="R51" s="2">
        <v>3.5827651643072403E-2</v>
      </c>
      <c r="S51" s="1">
        <v>3</v>
      </c>
      <c r="T51">
        <v>4.4485318450154403E-2</v>
      </c>
      <c r="U51">
        <v>4.7725793368676203E-2</v>
      </c>
      <c r="V51" s="2">
        <v>7.2843693861667003E-2</v>
      </c>
    </row>
    <row r="52" spans="1:22" x14ac:dyDescent="0.3">
      <c r="A52" t="s">
        <v>67</v>
      </c>
      <c r="C52">
        <v>6</v>
      </c>
      <c r="D52">
        <v>134</v>
      </c>
      <c r="E52">
        <v>5565</v>
      </c>
      <c r="F52" s="1">
        <v>2</v>
      </c>
      <c r="G52">
        <v>0.29394761178129297</v>
      </c>
      <c r="H52">
        <v>0.29032055274614799</v>
      </c>
      <c r="I52" s="2">
        <v>-1.23391342190729E-2</v>
      </c>
      <c r="J52" s="2"/>
      <c r="K52" s="1">
        <v>4</v>
      </c>
      <c r="L52">
        <v>0.25798550823927102</v>
      </c>
      <c r="M52">
        <v>0.20441918308155599</v>
      </c>
      <c r="N52" s="2">
        <v>-0.20763307801008099</v>
      </c>
      <c r="O52" s="1">
        <v>3</v>
      </c>
      <c r="P52">
        <v>0.26602961736790498</v>
      </c>
      <c r="Q52">
        <v>0.25340793519112598</v>
      </c>
      <c r="R52" s="2">
        <v>-4.7444650342534901E-2</v>
      </c>
      <c r="S52" s="1">
        <v>3</v>
      </c>
      <c r="T52">
        <v>0.30581810438511797</v>
      </c>
      <c r="U52">
        <v>0.28816013287527498</v>
      </c>
      <c r="V52" s="2">
        <v>-5.7740111709036E-2</v>
      </c>
    </row>
    <row r="53" spans="1:22" x14ac:dyDescent="0.3">
      <c r="A53" t="s">
        <v>68</v>
      </c>
      <c r="C53">
        <v>6</v>
      </c>
      <c r="D53">
        <v>134</v>
      </c>
      <c r="E53">
        <v>5565</v>
      </c>
      <c r="F53" s="1">
        <v>4</v>
      </c>
      <c r="G53">
        <v>0.31016753105906703</v>
      </c>
      <c r="H53">
        <v>0.263608729037622</v>
      </c>
      <c r="I53" s="2">
        <v>-0.150108561855166</v>
      </c>
      <c r="J53" s="2"/>
      <c r="K53" s="1">
        <v>3</v>
      </c>
      <c r="L53">
        <v>0.19963983734271101</v>
      </c>
      <c r="M53">
        <v>0.20933113140954701</v>
      </c>
      <c r="N53" s="2">
        <v>4.8543888814137001E-2</v>
      </c>
      <c r="O53" s="1">
        <v>3</v>
      </c>
      <c r="P53">
        <v>0.216999734810887</v>
      </c>
      <c r="Q53">
        <v>0.21792302650450501</v>
      </c>
      <c r="R53" s="2">
        <v>4.2548056310882203E-3</v>
      </c>
      <c r="S53" s="1">
        <v>3</v>
      </c>
      <c r="T53">
        <v>0.21835109715307299</v>
      </c>
      <c r="U53">
        <v>0.24466208187747199</v>
      </c>
      <c r="V53" s="2">
        <v>0.12049852310086701</v>
      </c>
    </row>
    <row r="54" spans="1:22" x14ac:dyDescent="0.3">
      <c r="A54" t="s">
        <v>69</v>
      </c>
      <c r="C54">
        <v>6</v>
      </c>
      <c r="D54">
        <v>134</v>
      </c>
      <c r="E54">
        <v>5565</v>
      </c>
      <c r="F54" s="1">
        <v>5</v>
      </c>
      <c r="G54">
        <v>8.6984078964316897E-2</v>
      </c>
      <c r="H54">
        <v>0.15433241405918399</v>
      </c>
      <c r="I54" s="2">
        <v>0.774260484180047</v>
      </c>
      <c r="J54" s="2"/>
      <c r="K54" s="1">
        <v>4</v>
      </c>
      <c r="L54">
        <v>9.2216566468765193E-2</v>
      </c>
      <c r="M54">
        <v>7.2053307901383395E-2</v>
      </c>
      <c r="N54" s="2">
        <v>-0.21865115281874301</v>
      </c>
      <c r="O54" s="1">
        <v>4</v>
      </c>
      <c r="P54">
        <v>0.10203319693933301</v>
      </c>
      <c r="Q54">
        <v>0.112927654408772</v>
      </c>
      <c r="R54" s="2">
        <v>0.10677365598880301</v>
      </c>
      <c r="S54" s="1">
        <v>4</v>
      </c>
      <c r="T54">
        <v>0.112214654014962</v>
      </c>
      <c r="U54">
        <v>0.11227238469816</v>
      </c>
      <c r="V54" s="2">
        <v>5.1446652582853695E-4</v>
      </c>
    </row>
    <row r="55" spans="1:22" x14ac:dyDescent="0.3">
      <c r="A55" t="s">
        <v>70</v>
      </c>
      <c r="C55">
        <v>6</v>
      </c>
      <c r="D55">
        <v>126</v>
      </c>
      <c r="E55">
        <v>4753</v>
      </c>
      <c r="F55" s="1">
        <v>4</v>
      </c>
      <c r="G55">
        <v>0.176791291284074</v>
      </c>
      <c r="H55">
        <v>0.11687092377425</v>
      </c>
      <c r="I55" s="2">
        <v>-0.33893280078791599</v>
      </c>
      <c r="J55" s="2"/>
      <c r="K55" s="1">
        <v>3</v>
      </c>
      <c r="L55">
        <v>9.7709551245710097E-2</v>
      </c>
      <c r="M55">
        <v>9.5287452490887894E-2</v>
      </c>
      <c r="N55" s="2">
        <v>-2.47887614254961E-2</v>
      </c>
      <c r="O55" s="1">
        <v>3</v>
      </c>
      <c r="P55">
        <v>9.7656994867661898E-2</v>
      </c>
      <c r="Q55">
        <v>9.53730843445115E-2</v>
      </c>
      <c r="R55" s="2">
        <v>-2.3387065373508101E-2</v>
      </c>
      <c r="S55" s="1">
        <v>4</v>
      </c>
      <c r="T55">
        <v>0.147025869280415</v>
      </c>
      <c r="U55">
        <v>8.6600330379362198E-2</v>
      </c>
      <c r="V55" s="2">
        <v>-0.41098576187164898</v>
      </c>
    </row>
    <row r="56" spans="1:22" x14ac:dyDescent="0.3">
      <c r="A56" t="s">
        <v>71</v>
      </c>
      <c r="C56">
        <v>6</v>
      </c>
      <c r="D56">
        <v>126</v>
      </c>
      <c r="E56">
        <v>4753</v>
      </c>
      <c r="F56" s="1">
        <v>3</v>
      </c>
      <c r="G56">
        <v>0.15708668798629399</v>
      </c>
      <c r="H56">
        <v>8.5883636955415399E-2</v>
      </c>
      <c r="I56" s="2">
        <v>-0.45327234244757503</v>
      </c>
      <c r="J56" s="2"/>
      <c r="K56" s="1">
        <v>3</v>
      </c>
      <c r="L56">
        <v>9.8996643814870999E-2</v>
      </c>
      <c r="M56">
        <v>8.6182379381119598E-2</v>
      </c>
      <c r="N56" s="2">
        <v>-0.12944140265719201</v>
      </c>
      <c r="O56" s="1">
        <v>2</v>
      </c>
      <c r="P56">
        <v>8.8607910589629899E-2</v>
      </c>
      <c r="Q56">
        <v>8.6687461533167601E-2</v>
      </c>
      <c r="R56" s="2">
        <v>-2.1673562142284199E-2</v>
      </c>
      <c r="S56" s="1">
        <v>3</v>
      </c>
      <c r="T56">
        <v>7.7169064877188998E-2</v>
      </c>
      <c r="U56">
        <v>8.4006862808629706E-2</v>
      </c>
      <c r="V56" s="2">
        <v>8.8608018541143696E-2</v>
      </c>
    </row>
    <row r="57" spans="1:22" x14ac:dyDescent="0.3">
      <c r="A57" t="s">
        <v>72</v>
      </c>
      <c r="C57">
        <v>6</v>
      </c>
      <c r="D57">
        <v>126</v>
      </c>
      <c r="E57">
        <v>4753</v>
      </c>
      <c r="F57" s="1">
        <v>2</v>
      </c>
      <c r="G57">
        <v>7.9278011533126899E-2</v>
      </c>
      <c r="H57">
        <v>0.119983805752754</v>
      </c>
      <c r="I57" s="2">
        <v>0.51345629680201799</v>
      </c>
      <c r="J57" s="2"/>
      <c r="K57" s="1">
        <v>2</v>
      </c>
      <c r="L57">
        <v>0.15732636949454101</v>
      </c>
      <c r="M57">
        <v>0.14761645700074799</v>
      </c>
      <c r="N57" s="2">
        <v>-6.1718277266479299E-2</v>
      </c>
      <c r="O57" s="1">
        <v>2</v>
      </c>
      <c r="P57">
        <v>0.13939999088160501</v>
      </c>
      <c r="Q57">
        <v>0.13290961421039199</v>
      </c>
      <c r="R57" s="2">
        <v>-4.6559376583644098E-2</v>
      </c>
      <c r="S57" s="1">
        <v>4</v>
      </c>
      <c r="T57">
        <v>0.17103015563604301</v>
      </c>
      <c r="U57">
        <v>0.165389729272718</v>
      </c>
      <c r="V57" s="2">
        <v>-3.2979133664166702E-2</v>
      </c>
    </row>
    <row r="58" spans="1:22" x14ac:dyDescent="0.3">
      <c r="A58" t="s">
        <v>73</v>
      </c>
      <c r="C58">
        <v>6</v>
      </c>
      <c r="D58">
        <v>126</v>
      </c>
      <c r="E58">
        <v>4753</v>
      </c>
      <c r="F58" s="1">
        <v>3</v>
      </c>
      <c r="G58">
        <v>0.16418896750687001</v>
      </c>
      <c r="H58">
        <v>3.7133059740598502E-2</v>
      </c>
      <c r="I58" s="2">
        <v>-0.77383949540309405</v>
      </c>
      <c r="J58" s="2"/>
      <c r="K58" s="1">
        <v>1</v>
      </c>
      <c r="L58">
        <v>3.4639285240502297E-2</v>
      </c>
      <c r="M58">
        <v>3.4639285240502297E-2</v>
      </c>
      <c r="N58" s="2">
        <v>0</v>
      </c>
      <c r="O58" s="1">
        <v>1</v>
      </c>
      <c r="P58">
        <v>2.76109428963787E-2</v>
      </c>
      <c r="Q58">
        <v>2.76109428963787E-2</v>
      </c>
      <c r="R58" s="2">
        <v>0</v>
      </c>
      <c r="S58" s="1">
        <v>2</v>
      </c>
      <c r="T58">
        <v>2.9192070173968101E-2</v>
      </c>
      <c r="U58">
        <v>2.8790964504941799E-2</v>
      </c>
      <c r="V58" s="2">
        <v>-1.3740226939571699E-2</v>
      </c>
    </row>
    <row r="59" spans="1:22" x14ac:dyDescent="0.3">
      <c r="A59" t="s">
        <v>74</v>
      </c>
      <c r="C59">
        <v>6</v>
      </c>
      <c r="D59">
        <v>126</v>
      </c>
      <c r="E59">
        <v>4753</v>
      </c>
      <c r="F59" s="1">
        <v>2</v>
      </c>
      <c r="G59">
        <v>7.5034174511666801E-2</v>
      </c>
      <c r="H59">
        <v>5.2133531189780799E-2</v>
      </c>
      <c r="I59" s="2">
        <v>-0.30520284218393301</v>
      </c>
      <c r="J59" s="2"/>
      <c r="K59" s="1">
        <v>2</v>
      </c>
      <c r="L59">
        <v>6.0896686403276903E-2</v>
      </c>
      <c r="M59">
        <v>5.47586041755036E-2</v>
      </c>
      <c r="N59" s="2">
        <v>-0.100795011852123</v>
      </c>
      <c r="O59" s="1">
        <v>2</v>
      </c>
      <c r="P59">
        <v>5.7839136392962703E-2</v>
      </c>
      <c r="Q59">
        <v>4.9708197615881598E-2</v>
      </c>
      <c r="R59" s="2">
        <v>-0.140578495533524</v>
      </c>
      <c r="S59" s="1">
        <v>2</v>
      </c>
      <c r="T59">
        <v>4.4163018410033401E-2</v>
      </c>
      <c r="U59">
        <v>4.8829134024979598E-2</v>
      </c>
      <c r="V59" s="2">
        <v>0.10565662816846801</v>
      </c>
    </row>
    <row r="60" spans="1:22" x14ac:dyDescent="0.3">
      <c r="A60" t="s">
        <v>75</v>
      </c>
      <c r="C60">
        <v>6</v>
      </c>
      <c r="D60">
        <v>120</v>
      </c>
      <c r="E60">
        <v>4186</v>
      </c>
      <c r="F60" s="1">
        <v>3</v>
      </c>
      <c r="G60">
        <v>0.15419146760024199</v>
      </c>
      <c r="H60">
        <v>0.12020151509463101</v>
      </c>
      <c r="I60" s="2">
        <v>-0.22043990523349399</v>
      </c>
      <c r="J60" s="2"/>
      <c r="K60" s="1">
        <v>2</v>
      </c>
      <c r="L60">
        <v>0.12684653876115601</v>
      </c>
      <c r="M60">
        <v>0.123652787824653</v>
      </c>
      <c r="N60" s="2">
        <v>-2.51780692456746E-2</v>
      </c>
      <c r="O60" s="1">
        <v>2</v>
      </c>
      <c r="P60">
        <v>0.12731958441902</v>
      </c>
      <c r="Q60">
        <v>0.12579651382965501</v>
      </c>
      <c r="R60" s="2">
        <v>-1.1962579019678199E-2</v>
      </c>
      <c r="S60" s="1">
        <v>2</v>
      </c>
      <c r="T60">
        <v>0.119065710881431</v>
      </c>
      <c r="U60">
        <v>0.135342927347366</v>
      </c>
      <c r="V60" s="2">
        <v>0.136707842631063</v>
      </c>
    </row>
    <row r="61" spans="1:22" x14ac:dyDescent="0.3">
      <c r="A61" t="s">
        <v>76</v>
      </c>
      <c r="C61">
        <v>6</v>
      </c>
      <c r="D61">
        <v>120</v>
      </c>
      <c r="E61">
        <v>4186</v>
      </c>
      <c r="F61" s="1">
        <v>4</v>
      </c>
      <c r="G61">
        <v>0.16702592376248901</v>
      </c>
      <c r="H61">
        <v>0.191836963724828</v>
      </c>
      <c r="I61" s="2">
        <v>0.14854604245518399</v>
      </c>
      <c r="J61" s="2"/>
      <c r="K61" s="1">
        <v>3</v>
      </c>
      <c r="L61">
        <v>0.20090022111924699</v>
      </c>
      <c r="M61">
        <v>0.20601480663608701</v>
      </c>
      <c r="N61" s="2">
        <v>2.5458336921410401E-2</v>
      </c>
      <c r="O61" s="1">
        <v>3</v>
      </c>
      <c r="P61">
        <v>0.19527777781721001</v>
      </c>
      <c r="Q61">
        <v>0.19199605754097601</v>
      </c>
      <c r="R61" s="2">
        <v>-1.6805395436777601E-2</v>
      </c>
      <c r="S61" s="1">
        <v>3</v>
      </c>
      <c r="T61">
        <v>0.19073501194043599</v>
      </c>
      <c r="U61">
        <v>0.202578094420199</v>
      </c>
      <c r="V61" s="2">
        <v>6.2091811877002398E-2</v>
      </c>
    </row>
    <row r="62" spans="1:22" x14ac:dyDescent="0.3">
      <c r="I62" s="2"/>
      <c r="J62" s="2"/>
      <c r="N62" s="2"/>
      <c r="R62" s="2"/>
      <c r="V62" s="2"/>
    </row>
    <row r="63" spans="1:22" x14ac:dyDescent="0.3">
      <c r="A63" t="s">
        <v>77</v>
      </c>
      <c r="I63" s="2">
        <f>AVERAGE(I35:I61)</f>
        <v>4.6820747376990345E-2</v>
      </c>
      <c r="J63" s="2"/>
      <c r="N63" s="2">
        <f>AVERAGE(N35:N61)</f>
        <v>-1.4066054688841086E-2</v>
      </c>
      <c r="R63" s="2">
        <f>AVERAGE(R35:R61)</f>
        <v>5.0806697608066539E-2</v>
      </c>
      <c r="V63" s="2">
        <f>AVERAGE(V35:V61)</f>
        <v>6.8141594112504797E-2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2026-08-14T14:21:15Z</dcterms:created>
  <dcterms:modified xsi:type="dcterms:W3CDTF">2026-08-30T19:19:55Z</dcterms:modified>
</cp:coreProperties>
</file>