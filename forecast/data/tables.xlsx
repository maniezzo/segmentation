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segmentation\forecast\data\"/>
    </mc:Choice>
  </mc:AlternateContent>
  <xr:revisionPtr revIDLastSave="0" documentId="13_ncr:1_{4AB43C17-E2F6-422A-8DA2-47EA6F1141C6}" xr6:coauthVersionLast="47" xr6:coauthVersionMax="47" xr10:uidLastSave="{00000000-0000-0000-0000-000000000000}"/>
  <bookViews>
    <workbookView xWindow="3165" yWindow="735" windowWidth="24360" windowHeight="14385" xr2:uid="{00000000-000D-0000-FFFF-FFFF00000000}"/>
  </bookViews>
  <sheets>
    <sheet name="tab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8" i="1" l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B10" i="1"/>
</calcChain>
</file>

<file path=xl/sharedStrings.xml><?xml version="1.0" encoding="utf-8"?>
<sst xmlns="http://schemas.openxmlformats.org/spreadsheetml/2006/main" count="139" uniqueCount="41">
  <si>
    <t>results6</t>
  </si>
  <si>
    <t>results12</t>
  </si>
  <si>
    <t>results18</t>
  </si>
  <si>
    <t>categ</t>
  </si>
  <si>
    <t>avg_npoints</t>
  </si>
  <si>
    <t>avg_nsegm</t>
  </si>
  <si>
    <t>AR_avg_delta</t>
  </si>
  <si>
    <t>AR_std_delta</t>
  </si>
  <si>
    <t>AR_range_delta</t>
  </si>
  <si>
    <t>HW_avg_delta</t>
  </si>
  <si>
    <t>HW_std_delta</t>
  </si>
  <si>
    <t>HW_range_delta</t>
  </si>
  <si>
    <t>Th_avg_delta</t>
  </si>
  <si>
    <t>Th_std_delta</t>
  </si>
  <si>
    <t>Th_range_delta</t>
  </si>
  <si>
    <t>RF_avg_delta</t>
  </si>
  <si>
    <t>RF_std_delta</t>
  </si>
  <si>
    <t>RF_range_delta</t>
  </si>
  <si>
    <t>DEMOGRAPHIC</t>
  </si>
  <si>
    <t>FINANCE</t>
  </si>
  <si>
    <t>INDUSTRY</t>
  </si>
  <si>
    <t>MACRO</t>
  </si>
  <si>
    <t>MICRO</t>
  </si>
  <si>
    <t>OTHER</t>
  </si>
  <si>
    <t>Demographic</t>
  </si>
  <si>
    <t>Finance</t>
  </si>
  <si>
    <t>Industry</t>
  </si>
  <si>
    <t>Macro</t>
  </si>
  <si>
    <t>Micro</t>
  </si>
  <si>
    <t>Other</t>
  </si>
  <si>
    <t>avg</t>
  </si>
  <si>
    <t>HW</t>
  </si>
  <si>
    <t>Theta</t>
  </si>
  <si>
    <t>Rnd. Forest</t>
  </si>
  <si>
    <t>AR(1)</t>
  </si>
  <si>
    <t>avg_delta</t>
  </si>
  <si>
    <t>range</t>
  </si>
  <si>
    <t>avg npoints</t>
  </si>
  <si>
    <t>avg nsegm</t>
  </si>
  <si>
    <t>std dev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</si>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</sst>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164" fontId="0" fillId="0" borderId="10" xfId="0" applyNumberFormat="1" applyBorder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tabSelected="1" workbookViewId="0">
      <selection activeCell="D17" sqref="D17"/>
    </sheetView>
  </sheetViews>
  <sheetFormatPr defaultRowHeight="15" x14ac:dyDescent="0.25"/>
  <sheetData>
    <row r="1" spans="1:15" x14ac:dyDescent="0.25">
      <c r="A1" t="s">
        <v>0</v>
      </c>
    </row>
    <row r="2" spans="1:15" s="5" customFormat="1" x14ac:dyDescent="0.25">
      <c r="B2" s="6"/>
      <c r="D2" s="6"/>
      <c r="E2" s="5" t="s">
        <v>34</v>
      </c>
      <c r="G2" s="6"/>
      <c r="H2" s="5" t="s">
        <v>31</v>
      </c>
      <c r="J2" s="6"/>
      <c r="K2" s="5" t="s">
        <v>32</v>
      </c>
      <c r="M2" s="6"/>
      <c r="N2" s="5" t="s">
        <v>33</v>
      </c>
    </row>
    <row r="3" spans="1:15" x14ac:dyDescent="0.25">
      <c r="A3" t="s">
        <v>40</v>
      </c>
      <c r="B3" s="1" t="s">
        <v>37</v>
      </c>
      <c r="C3" t="s">
        <v>38</v>
      </c>
      <c r="D3" s="1" t="s">
        <v>35</v>
      </c>
      <c r="E3" t="s">
        <v>39</v>
      </c>
      <c r="F3" t="s">
        <v>36</v>
      </c>
      <c r="G3" s="1" t="s">
        <v>35</v>
      </c>
      <c r="H3" t="s">
        <v>39</v>
      </c>
      <c r="I3" t="s">
        <v>36</v>
      </c>
      <c r="J3" s="1" t="s">
        <v>35</v>
      </c>
      <c r="K3" t="s">
        <v>39</v>
      </c>
      <c r="L3" t="s">
        <v>36</v>
      </c>
      <c r="M3" s="1" t="s">
        <v>35</v>
      </c>
      <c r="N3" t="s">
        <v>39</v>
      </c>
      <c r="O3" t="s">
        <v>36</v>
      </c>
    </row>
    <row r="4" spans="1:15" x14ac:dyDescent="0.25">
      <c r="A4" t="s">
        <v>18</v>
      </c>
      <c r="B4" s="1">
        <v>134.6</v>
      </c>
      <c r="C4" s="4">
        <v>5010</v>
      </c>
      <c r="D4" s="2">
        <v>-0.1482</v>
      </c>
      <c r="E4" s="3">
        <v>0.20549999999999999</v>
      </c>
      <c r="F4" s="3">
        <v>0.50719999999999998</v>
      </c>
      <c r="G4" s="2">
        <v>0.13789999999999999</v>
      </c>
      <c r="H4" s="3">
        <v>0.44069999999999998</v>
      </c>
      <c r="I4" s="3">
        <v>1.1792</v>
      </c>
      <c r="J4" s="2">
        <v>0.1527</v>
      </c>
      <c r="K4" s="3">
        <v>0.39989999999999998</v>
      </c>
      <c r="L4" s="3">
        <v>1.0130999999999999</v>
      </c>
      <c r="M4" s="2">
        <v>0.19600000000000001</v>
      </c>
      <c r="N4" s="3">
        <v>1.0044999999999999</v>
      </c>
      <c r="O4" s="3">
        <v>2.3216000000000001</v>
      </c>
    </row>
    <row r="5" spans="1:15" x14ac:dyDescent="0.25">
      <c r="A5" t="s">
        <v>19</v>
      </c>
      <c r="B5" s="1">
        <v>129.6</v>
      </c>
      <c r="C5" s="4">
        <v>4610.3999999999996</v>
      </c>
      <c r="D5" s="2">
        <v>0.27810000000000001</v>
      </c>
      <c r="E5" s="3">
        <v>0.47689999999999999</v>
      </c>
      <c r="F5" s="3">
        <v>1.1029</v>
      </c>
      <c r="G5" s="2">
        <v>-0.19800000000000001</v>
      </c>
      <c r="H5" s="3">
        <v>0.2346</v>
      </c>
      <c r="I5" s="3">
        <v>0.57410000000000005</v>
      </c>
      <c r="J5" s="2">
        <v>0.12740000000000001</v>
      </c>
      <c r="K5" s="3">
        <v>0.56969999999999998</v>
      </c>
      <c r="L5" s="3">
        <v>1.4610000000000001</v>
      </c>
      <c r="M5" s="2">
        <v>2.5999999999999999E-3</v>
      </c>
      <c r="N5" s="3">
        <v>6.1999999999999998E-3</v>
      </c>
      <c r="O5" s="3">
        <v>1.49E-2</v>
      </c>
    </row>
    <row r="6" spans="1:15" x14ac:dyDescent="0.25">
      <c r="A6" t="s">
        <v>20</v>
      </c>
      <c r="B6" s="1">
        <v>140</v>
      </c>
      <c r="C6" s="4">
        <v>5577</v>
      </c>
      <c r="D6" s="2">
        <v>-0.1217</v>
      </c>
      <c r="E6" s="3">
        <v>8.5300000000000001E-2</v>
      </c>
      <c r="F6" s="3">
        <v>0.22259999999999999</v>
      </c>
      <c r="G6" s="2">
        <v>1.0200000000000001E-2</v>
      </c>
      <c r="H6" s="3">
        <v>0.4889</v>
      </c>
      <c r="I6" s="3">
        <v>1.071</v>
      </c>
      <c r="J6" s="2">
        <v>-0.1045</v>
      </c>
      <c r="K6" s="3">
        <v>0.27179999999999999</v>
      </c>
      <c r="L6" s="3">
        <v>0.71499999999999997</v>
      </c>
      <c r="M6" s="2">
        <v>-5.8000000000000003E-2</v>
      </c>
      <c r="N6" s="3">
        <v>0.22900000000000001</v>
      </c>
      <c r="O6" s="3">
        <v>0.57699999999999996</v>
      </c>
    </row>
    <row r="7" spans="1:15" x14ac:dyDescent="0.25">
      <c r="A7" t="s">
        <v>21</v>
      </c>
      <c r="B7" s="1">
        <v>128.4</v>
      </c>
      <c r="C7" s="4">
        <v>4460.8</v>
      </c>
      <c r="D7" s="2">
        <v>-0.11550000000000001</v>
      </c>
      <c r="E7" s="3">
        <v>0.11070000000000001</v>
      </c>
      <c r="F7" s="3">
        <v>0.22550000000000001</v>
      </c>
      <c r="G7" s="2">
        <v>0.25269999999999998</v>
      </c>
      <c r="H7" s="3">
        <v>0.89690000000000003</v>
      </c>
      <c r="I7" s="3">
        <v>2.1377999999999999</v>
      </c>
      <c r="J7" s="2">
        <v>-2.9999999999999997E-4</v>
      </c>
      <c r="K7" s="3">
        <v>0.1978</v>
      </c>
      <c r="L7" s="3">
        <v>0.5071</v>
      </c>
      <c r="M7" s="2">
        <v>1.0999999999999999E-2</v>
      </c>
      <c r="N7" s="3">
        <v>5.3800000000000001E-2</v>
      </c>
      <c r="O7" s="3">
        <v>0.1348</v>
      </c>
    </row>
    <row r="8" spans="1:15" x14ac:dyDescent="0.25">
      <c r="A8" t="s">
        <v>22</v>
      </c>
      <c r="B8" s="1">
        <v>126</v>
      </c>
      <c r="C8" s="4">
        <v>4186</v>
      </c>
      <c r="D8" s="2">
        <v>-8.0399999999999999E-2</v>
      </c>
      <c r="E8" s="3">
        <v>0.52559999999999996</v>
      </c>
      <c r="F8" s="3">
        <v>1.3876999999999999</v>
      </c>
      <c r="G8" s="2">
        <v>-0.24909999999999999</v>
      </c>
      <c r="H8" s="3">
        <v>0.29709999999999998</v>
      </c>
      <c r="I8" s="3">
        <v>0.74309999999999998</v>
      </c>
      <c r="J8" s="2">
        <v>-0.1174</v>
      </c>
      <c r="K8" s="3">
        <v>0.1333</v>
      </c>
      <c r="L8" s="3">
        <v>0.27950000000000003</v>
      </c>
      <c r="M8" s="2">
        <v>-7.5999999999999998E-2</v>
      </c>
      <c r="N8" s="3">
        <v>0.11210000000000001</v>
      </c>
      <c r="O8" s="3">
        <v>0.24890000000000001</v>
      </c>
    </row>
    <row r="9" spans="1:15" x14ac:dyDescent="0.25">
      <c r="A9" t="s">
        <v>23</v>
      </c>
      <c r="B9" s="1">
        <v>105.6</v>
      </c>
      <c r="C9" s="4">
        <v>2596.6</v>
      </c>
      <c r="D9" s="2">
        <v>-1.54E-2</v>
      </c>
      <c r="E9" s="3">
        <v>2.9100000000000001E-2</v>
      </c>
      <c r="F9" s="3">
        <v>7.6799999999999993E-2</v>
      </c>
      <c r="G9" s="2">
        <v>0.2145</v>
      </c>
      <c r="H9" s="3">
        <v>9.4200000000000006E-2</v>
      </c>
      <c r="I9" s="3">
        <v>0.24360000000000001</v>
      </c>
      <c r="J9" s="2">
        <v>-9.6100000000000005E-2</v>
      </c>
      <c r="K9" s="3">
        <v>0.13950000000000001</v>
      </c>
      <c r="L9" s="3">
        <v>0.3327</v>
      </c>
      <c r="M9" s="2">
        <v>-8.4099999999999994E-2</v>
      </c>
      <c r="N9" s="3">
        <v>0.48759999999999998</v>
      </c>
      <c r="O9" s="3">
        <v>1.1628000000000001</v>
      </c>
    </row>
    <row r="10" spans="1:15" x14ac:dyDescent="0.25">
      <c r="A10" t="s">
        <v>30</v>
      </c>
      <c r="B10" s="1">
        <f>AVERAGE(B4:B9)</f>
        <v>127.36666666666667</v>
      </c>
      <c r="C10" s="4">
        <f t="shared" ref="C10:O10" si="0">AVERAGE(C4:C9)</f>
        <v>4406.8</v>
      </c>
      <c r="D10" s="2">
        <f t="shared" si="0"/>
        <v>-3.3849999999999998E-2</v>
      </c>
      <c r="E10">
        <f t="shared" si="0"/>
        <v>0.23884999999999998</v>
      </c>
      <c r="F10">
        <f t="shared" si="0"/>
        <v>0.58711666666666662</v>
      </c>
      <c r="G10" s="2">
        <f t="shared" si="0"/>
        <v>2.803333333333333E-2</v>
      </c>
      <c r="H10">
        <f t="shared" si="0"/>
        <v>0.40873333333333334</v>
      </c>
      <c r="I10">
        <f t="shared" si="0"/>
        <v>0.99146666666666661</v>
      </c>
      <c r="J10" s="2">
        <f t="shared" si="0"/>
        <v>-6.366666666666662E-3</v>
      </c>
      <c r="K10">
        <f t="shared" si="0"/>
        <v>0.28533333333333333</v>
      </c>
      <c r="L10">
        <f t="shared" si="0"/>
        <v>0.71806666666666663</v>
      </c>
      <c r="M10" s="2">
        <f t="shared" si="0"/>
        <v>-1.4166666666666633E-3</v>
      </c>
      <c r="N10">
        <f t="shared" si="0"/>
        <v>0.31553333333333339</v>
      </c>
      <c r="O10">
        <f t="shared" si="0"/>
        <v>0.74333333333333329</v>
      </c>
    </row>
    <row r="12" spans="1:15" x14ac:dyDescent="0.25">
      <c r="B12" s="1"/>
      <c r="D12" s="1"/>
      <c r="G12" s="1"/>
      <c r="J12" s="1"/>
      <c r="M12" s="1"/>
    </row>
    <row r="13" spans="1:15" x14ac:dyDescent="0.25">
      <c r="A13" t="s">
        <v>40</v>
      </c>
      <c r="B13" s="1" t="s">
        <v>37</v>
      </c>
      <c r="C13" t="s">
        <v>38</v>
      </c>
      <c r="D13" s="1" t="s">
        <v>35</v>
      </c>
      <c r="E13" t="s">
        <v>39</v>
      </c>
      <c r="F13" t="s">
        <v>36</v>
      </c>
      <c r="G13" s="1" t="s">
        <v>35</v>
      </c>
      <c r="H13" t="s">
        <v>39</v>
      </c>
      <c r="I13" t="s">
        <v>36</v>
      </c>
      <c r="J13" s="1" t="s">
        <v>35</v>
      </c>
      <c r="K13" t="s">
        <v>39</v>
      </c>
      <c r="L13" t="s">
        <v>36</v>
      </c>
      <c r="M13" s="1" t="s">
        <v>35</v>
      </c>
      <c r="N13" t="s">
        <v>39</v>
      </c>
      <c r="O13" t="s">
        <v>36</v>
      </c>
    </row>
    <row r="14" spans="1:15" x14ac:dyDescent="0.25">
      <c r="A14" t="s">
        <v>24</v>
      </c>
      <c r="B14" s="1">
        <v>146.4</v>
      </c>
      <c r="C14" s="4">
        <v>7272.2</v>
      </c>
      <c r="D14" s="2">
        <v>-6.88E-2</v>
      </c>
      <c r="E14" s="3">
        <v>0.17879999999999999</v>
      </c>
      <c r="F14" s="3">
        <v>0.46489999999999998</v>
      </c>
      <c r="G14" s="2">
        <v>-0.1726</v>
      </c>
      <c r="H14" s="3">
        <v>0.32840000000000003</v>
      </c>
      <c r="I14" s="3">
        <v>0.82199999999999995</v>
      </c>
      <c r="J14" s="2">
        <v>-2.23E-2</v>
      </c>
      <c r="K14" s="3">
        <v>0.31369999999999998</v>
      </c>
      <c r="L14" s="3">
        <v>0.80500000000000005</v>
      </c>
      <c r="M14" s="2">
        <v>-0.16209999999999999</v>
      </c>
      <c r="N14" s="3">
        <v>5.3600000000000002E-2</v>
      </c>
      <c r="O14" s="3">
        <v>0.13159999999999999</v>
      </c>
    </row>
    <row r="15" spans="1:15" x14ac:dyDescent="0.25">
      <c r="A15" t="s">
        <v>25</v>
      </c>
      <c r="B15" s="1">
        <v>114</v>
      </c>
      <c r="C15" s="4">
        <v>3686.4</v>
      </c>
      <c r="D15" s="2">
        <v>0.34860000000000002</v>
      </c>
      <c r="E15" s="3">
        <v>0.754</v>
      </c>
      <c r="F15" s="3">
        <v>1.9029</v>
      </c>
      <c r="G15" s="2">
        <v>-0.2334</v>
      </c>
      <c r="H15" s="3">
        <v>0.16639999999999999</v>
      </c>
      <c r="I15" s="3">
        <v>0.42109999999999997</v>
      </c>
      <c r="J15" s="2">
        <v>1.7100000000000001E-2</v>
      </c>
      <c r="K15" s="3">
        <v>0.747</v>
      </c>
      <c r="L15" s="3">
        <v>1.8982000000000001</v>
      </c>
      <c r="M15" s="2">
        <v>0.20930000000000001</v>
      </c>
      <c r="N15" s="3">
        <v>0.71389999999999998</v>
      </c>
      <c r="O15" s="3">
        <v>1.6443000000000001</v>
      </c>
    </row>
    <row r="16" spans="1:15" x14ac:dyDescent="0.25">
      <c r="A16" t="s">
        <v>26</v>
      </c>
      <c r="B16" s="1">
        <v>154.6</v>
      </c>
      <c r="C16" s="4">
        <v>9753</v>
      </c>
      <c r="D16" s="2">
        <v>-5.8999999999999999E-3</v>
      </c>
      <c r="E16" s="3">
        <v>0.15690000000000001</v>
      </c>
      <c r="F16" s="3">
        <v>0.38579999999999998</v>
      </c>
      <c r="G16" s="2">
        <v>0.98550000000000004</v>
      </c>
      <c r="H16" s="3">
        <v>2.056</v>
      </c>
      <c r="I16" s="3">
        <v>5.0574000000000003</v>
      </c>
      <c r="J16" s="2">
        <v>-3.3799999999999997E-2</v>
      </c>
      <c r="K16" s="3">
        <v>0.1368</v>
      </c>
      <c r="L16" s="3">
        <v>0.35699999999999998</v>
      </c>
      <c r="M16" s="2">
        <v>-8.43E-2</v>
      </c>
      <c r="N16" s="3">
        <v>4.36E-2</v>
      </c>
      <c r="O16" s="3">
        <v>0.11459999999999999</v>
      </c>
    </row>
    <row r="17" spans="1:15" x14ac:dyDescent="0.25">
      <c r="A17" t="s">
        <v>27</v>
      </c>
      <c r="B17" s="1">
        <v>146.4</v>
      </c>
      <c r="C17" s="4">
        <v>7368.6</v>
      </c>
      <c r="D17" s="2">
        <v>-7.3099999999999998E-2</v>
      </c>
      <c r="E17" s="3">
        <v>0.20949999999999999</v>
      </c>
      <c r="F17" s="3">
        <v>0.51639999999999997</v>
      </c>
      <c r="G17" s="2">
        <v>0.39610000000000001</v>
      </c>
      <c r="H17" s="3">
        <v>0.85119999999999996</v>
      </c>
      <c r="I17" s="3">
        <v>1.9357</v>
      </c>
      <c r="J17" s="2">
        <v>0.18260000000000001</v>
      </c>
      <c r="K17" s="3">
        <v>0.52210000000000001</v>
      </c>
      <c r="L17" s="3">
        <v>1.37</v>
      </c>
      <c r="M17" s="2">
        <v>-0.21690000000000001</v>
      </c>
      <c r="N17" s="3">
        <v>0.26900000000000002</v>
      </c>
      <c r="O17" s="3">
        <v>0.54630000000000001</v>
      </c>
    </row>
    <row r="18" spans="1:15" x14ac:dyDescent="0.25">
      <c r="A18" t="s">
        <v>28</v>
      </c>
      <c r="B18" s="1">
        <v>121.6</v>
      </c>
      <c r="C18" s="4">
        <v>4605.8</v>
      </c>
      <c r="D18" s="2">
        <v>2.87E-2</v>
      </c>
      <c r="E18" s="3">
        <v>0.2581</v>
      </c>
      <c r="F18" s="3">
        <v>0.72289999999999999</v>
      </c>
      <c r="G18" s="2">
        <v>0.15579999999999999</v>
      </c>
      <c r="H18" s="3">
        <v>0.19900000000000001</v>
      </c>
      <c r="I18" s="3">
        <v>0.40489999999999998</v>
      </c>
      <c r="J18" s="2">
        <v>7.8899999999999998E-2</v>
      </c>
      <c r="K18" s="3">
        <v>0.11020000000000001</v>
      </c>
      <c r="L18" s="3">
        <v>0.27479999999999999</v>
      </c>
      <c r="M18" s="2">
        <v>-0.1575</v>
      </c>
      <c r="N18" s="3">
        <v>0.36830000000000002</v>
      </c>
      <c r="O18" s="3">
        <v>0.92469999999999997</v>
      </c>
    </row>
    <row r="19" spans="1:15" x14ac:dyDescent="0.25">
      <c r="A19" t="s">
        <v>29</v>
      </c>
      <c r="B19" s="1">
        <v>179.6</v>
      </c>
      <c r="C19" s="4">
        <v>14940.6</v>
      </c>
      <c r="D19" s="2">
        <v>-0.39410000000000001</v>
      </c>
      <c r="E19" s="3">
        <v>0.35649999999999998</v>
      </c>
      <c r="F19" s="3">
        <v>0.88980000000000004</v>
      </c>
      <c r="G19" s="2">
        <v>8.5800000000000001E-2</v>
      </c>
      <c r="H19" s="3">
        <v>0.58189999999999997</v>
      </c>
      <c r="I19" s="3">
        <v>1.403</v>
      </c>
      <c r="J19" s="2">
        <v>-0.37509999999999999</v>
      </c>
      <c r="K19" s="3">
        <v>0.2903</v>
      </c>
      <c r="L19" s="3">
        <v>0.66579999999999995</v>
      </c>
      <c r="M19" s="2">
        <v>0.40189999999999998</v>
      </c>
      <c r="N19" s="3">
        <v>7.7218</v>
      </c>
      <c r="O19" s="3">
        <v>17.54</v>
      </c>
    </row>
    <row r="20" spans="1:15" x14ac:dyDescent="0.25">
      <c r="A20" t="s">
        <v>30</v>
      </c>
      <c r="B20" s="1">
        <f>AVERAGE(B14:B19)</f>
        <v>143.76666666666668</v>
      </c>
      <c r="C20" s="4">
        <f t="shared" ref="C20" si="1">AVERAGE(C14:C19)</f>
        <v>7937.7666666666664</v>
      </c>
      <c r="D20" s="2">
        <f t="shared" ref="D20" si="2">AVERAGE(D14:D19)</f>
        <v>-2.7433333333333327E-2</v>
      </c>
      <c r="E20">
        <f t="shared" ref="E20" si="3">AVERAGE(E14:E19)</f>
        <v>0.31896666666666668</v>
      </c>
      <c r="F20">
        <f t="shared" ref="F20" si="4">AVERAGE(F14:F19)</f>
        <v>0.8137833333333333</v>
      </c>
      <c r="G20" s="2">
        <f t="shared" ref="G20" si="5">AVERAGE(G14:G19)</f>
        <v>0.20286666666666667</v>
      </c>
      <c r="H20">
        <f t="shared" ref="H20" si="6">AVERAGE(H14:H19)</f>
        <v>0.69715000000000005</v>
      </c>
      <c r="I20">
        <f t="shared" ref="I20" si="7">AVERAGE(I14:I19)</f>
        <v>1.6740166666666667</v>
      </c>
      <c r="J20" s="2">
        <f t="shared" ref="J20" si="8">AVERAGE(J14:J19)</f>
        <v>-2.5433333333333332E-2</v>
      </c>
      <c r="K20">
        <f t="shared" ref="K20" si="9">AVERAGE(K14:K19)</f>
        <v>0.35335</v>
      </c>
      <c r="L20">
        <f t="shared" ref="L20" si="10">AVERAGE(L14:L19)</f>
        <v>0.89513333333333334</v>
      </c>
      <c r="M20" s="2">
        <f t="shared" ref="M20" si="11">AVERAGE(M14:M19)</f>
        <v>-1.5999999999999996E-3</v>
      </c>
      <c r="N20">
        <f t="shared" ref="N20" si="12">AVERAGE(N14:N19)</f>
        <v>1.5283666666666667</v>
      </c>
      <c r="O20">
        <f t="shared" ref="O20" si="13">AVERAGE(O14:O19)</f>
        <v>3.4835833333333333</v>
      </c>
    </row>
    <row r="22" spans="1:15" x14ac:dyDescent="0.25">
      <c r="A22" t="s">
        <v>1</v>
      </c>
    </row>
    <row r="23" spans="1:15" x14ac:dyDescent="0.25">
      <c r="A23" t="s">
        <v>3</v>
      </c>
      <c r="B23" t="s">
        <v>4</v>
      </c>
      <c r="C23" t="s">
        <v>5</v>
      </c>
      <c r="D23" s="1" t="s">
        <v>6</v>
      </c>
      <c r="E23" t="s">
        <v>7</v>
      </c>
      <c r="F23" t="s">
        <v>8</v>
      </c>
      <c r="G23" s="1" t="s">
        <v>9</v>
      </c>
      <c r="H23" t="s">
        <v>10</v>
      </c>
      <c r="I23" t="s">
        <v>11</v>
      </c>
      <c r="J23" s="1" t="s">
        <v>12</v>
      </c>
      <c r="K23" t="s">
        <v>13</v>
      </c>
      <c r="L23" t="s">
        <v>14</v>
      </c>
      <c r="M23" s="1" t="s">
        <v>15</v>
      </c>
      <c r="N23" t="s">
        <v>16</v>
      </c>
      <c r="O23" t="s">
        <v>17</v>
      </c>
    </row>
    <row r="24" spans="1:15" x14ac:dyDescent="0.25">
      <c r="A24" t="s">
        <v>18</v>
      </c>
      <c r="B24" s="4">
        <v>134.6</v>
      </c>
      <c r="C24" s="4">
        <v>3880.8</v>
      </c>
      <c r="D24" s="2">
        <v>0.16089999999999999</v>
      </c>
      <c r="E24" s="3">
        <v>0.53659999999999997</v>
      </c>
      <c r="F24" s="3">
        <v>1.4341999999999999</v>
      </c>
      <c r="G24" s="2">
        <v>0.2016</v>
      </c>
      <c r="H24" s="3">
        <v>0.4284</v>
      </c>
      <c r="I24" s="3">
        <v>0.99929999999999997</v>
      </c>
      <c r="J24" s="2">
        <v>0.11360000000000001</v>
      </c>
      <c r="K24" s="3">
        <v>0.37290000000000001</v>
      </c>
      <c r="L24" s="3">
        <v>0.89590000000000003</v>
      </c>
      <c r="M24" s="2">
        <v>9.6100000000000005E-2</v>
      </c>
      <c r="N24" s="3">
        <v>0.2233</v>
      </c>
      <c r="O24" s="3">
        <v>0.55520000000000003</v>
      </c>
    </row>
    <row r="25" spans="1:15" x14ac:dyDescent="0.25">
      <c r="A25" t="s">
        <v>19</v>
      </c>
      <c r="B25" s="4">
        <v>129.6</v>
      </c>
      <c r="C25" s="4">
        <v>3541.2</v>
      </c>
      <c r="D25" s="2">
        <v>0.19220000000000001</v>
      </c>
      <c r="E25" s="3">
        <v>0.45479999999999998</v>
      </c>
      <c r="F25" s="3">
        <v>1.1554</v>
      </c>
      <c r="G25" s="2">
        <v>0.28079999999999999</v>
      </c>
      <c r="H25" s="3">
        <v>0.19209999999999999</v>
      </c>
      <c r="I25" s="3">
        <v>0.45779999999999998</v>
      </c>
      <c r="J25" s="2">
        <v>3.4099999999999998E-2</v>
      </c>
      <c r="K25" s="3">
        <v>0.59830000000000005</v>
      </c>
      <c r="L25" s="3">
        <v>1.238</v>
      </c>
      <c r="M25" s="2">
        <v>-1.5299999999999999E-2</v>
      </c>
      <c r="N25" s="3">
        <v>2.23E-2</v>
      </c>
      <c r="O25" s="3">
        <v>5.2699999999999997E-2</v>
      </c>
    </row>
    <row r="26" spans="1:15" x14ac:dyDescent="0.25">
      <c r="A26" t="s">
        <v>20</v>
      </c>
      <c r="B26" s="4">
        <v>140</v>
      </c>
      <c r="C26" s="4">
        <v>4383</v>
      </c>
      <c r="D26" s="2">
        <v>-5.5800000000000002E-2</v>
      </c>
      <c r="E26" s="3">
        <v>0.1681</v>
      </c>
      <c r="F26" s="3">
        <v>0.39610000000000001</v>
      </c>
      <c r="G26" s="2">
        <v>-8.1900000000000001E-2</v>
      </c>
      <c r="H26" s="3">
        <v>0.1159</v>
      </c>
      <c r="I26" s="3">
        <v>0.29920000000000002</v>
      </c>
      <c r="J26" s="2">
        <v>-1.2999999999999999E-2</v>
      </c>
      <c r="K26" s="3">
        <v>7.7399999999999997E-2</v>
      </c>
      <c r="L26" s="3">
        <v>0.18559999999999999</v>
      </c>
      <c r="M26" s="2">
        <v>-2.2599999999999999E-2</v>
      </c>
      <c r="N26" s="3">
        <v>7.9399999999999998E-2</v>
      </c>
      <c r="O26" s="3">
        <v>0.21959999999999999</v>
      </c>
    </row>
    <row r="27" spans="1:15" x14ac:dyDescent="0.25">
      <c r="A27" t="s">
        <v>21</v>
      </c>
      <c r="B27" s="4">
        <v>128.4</v>
      </c>
      <c r="C27" s="4">
        <v>3406</v>
      </c>
      <c r="D27" s="2">
        <v>-0.113</v>
      </c>
      <c r="E27" s="3">
        <v>0.31819999999999998</v>
      </c>
      <c r="F27" s="3">
        <v>0.79</v>
      </c>
      <c r="G27" s="2">
        <v>-3.7499999999999999E-2</v>
      </c>
      <c r="H27" s="3">
        <v>0.3543</v>
      </c>
      <c r="I27" s="3">
        <v>0.97709999999999997</v>
      </c>
      <c r="J27" s="2">
        <v>-0.03</v>
      </c>
      <c r="K27" s="3">
        <v>8.0199999999999994E-2</v>
      </c>
      <c r="L27" s="3">
        <v>0.20150000000000001</v>
      </c>
      <c r="M27" s="2">
        <v>3.9800000000000002E-2</v>
      </c>
      <c r="N27" s="3">
        <v>7.0199999999999999E-2</v>
      </c>
      <c r="O27" s="3">
        <v>0.15720000000000001</v>
      </c>
    </row>
    <row r="28" spans="1:15" x14ac:dyDescent="0.25">
      <c r="A28" t="s">
        <v>22</v>
      </c>
      <c r="B28" s="4">
        <v>126</v>
      </c>
      <c r="C28" s="4">
        <v>3160</v>
      </c>
      <c r="D28" s="2">
        <v>-0.249</v>
      </c>
      <c r="E28" s="3">
        <v>0.31730000000000003</v>
      </c>
      <c r="F28" s="3">
        <v>0.79300000000000004</v>
      </c>
      <c r="G28" s="2">
        <v>-7.4899999999999994E-2</v>
      </c>
      <c r="H28" s="3">
        <v>0.16750000000000001</v>
      </c>
      <c r="I28" s="3">
        <v>0.37440000000000001</v>
      </c>
      <c r="J28" s="2">
        <v>-0.1032</v>
      </c>
      <c r="K28" s="3">
        <v>0.16719999999999999</v>
      </c>
      <c r="L28" s="3">
        <v>0.3967</v>
      </c>
      <c r="M28" s="2">
        <v>0.14810000000000001</v>
      </c>
      <c r="N28" s="3">
        <v>0.32750000000000001</v>
      </c>
      <c r="O28" s="3">
        <v>0.73380000000000001</v>
      </c>
    </row>
    <row r="29" spans="1:15" x14ac:dyDescent="0.25">
      <c r="A29" t="s">
        <v>23</v>
      </c>
      <c r="B29" s="4">
        <v>105.6</v>
      </c>
      <c r="C29" s="4">
        <v>1815.4</v>
      </c>
      <c r="D29" s="2">
        <v>-2.4500000000000001E-2</v>
      </c>
      <c r="E29" s="3">
        <v>3.6900000000000002E-2</v>
      </c>
      <c r="F29" s="3">
        <v>9.2799999999999994E-2</v>
      </c>
      <c r="G29" s="2">
        <v>0.23719999999999999</v>
      </c>
      <c r="H29" s="3">
        <v>0.18529999999999999</v>
      </c>
      <c r="I29" s="3">
        <v>0.50580000000000003</v>
      </c>
      <c r="J29" s="2">
        <v>-8.0399999999999999E-2</v>
      </c>
      <c r="K29" s="3">
        <v>0.1116</v>
      </c>
      <c r="L29" s="3">
        <v>0.24099999999999999</v>
      </c>
      <c r="M29" s="2">
        <v>7.0199999999999999E-2</v>
      </c>
      <c r="N29" s="3">
        <v>6.2799999999999995E-2</v>
      </c>
      <c r="O29" s="3">
        <v>0.14180000000000001</v>
      </c>
    </row>
    <row r="30" spans="1:15" x14ac:dyDescent="0.25">
      <c r="A30" t="s">
        <v>30</v>
      </c>
      <c r="B30" s="4">
        <f>AVERAGE(B24:B29)</f>
        <v>127.36666666666667</v>
      </c>
      <c r="C30" s="4">
        <f t="shared" ref="C30" si="14">AVERAGE(C24:C29)</f>
        <v>3364.4</v>
      </c>
      <c r="D30" s="2">
        <f t="shared" ref="D30" si="15">AVERAGE(D24:D29)</f>
        <v>-1.4866666666666672E-2</v>
      </c>
      <c r="E30">
        <f t="shared" ref="E30" si="16">AVERAGE(E24:E29)</f>
        <v>0.30531666666666663</v>
      </c>
      <c r="F30">
        <f t="shared" ref="F30" si="17">AVERAGE(F24:F29)</f>
        <v>0.7769166666666667</v>
      </c>
      <c r="G30" s="2">
        <f t="shared" ref="G30" si="18">AVERAGE(G24:G29)</f>
        <v>8.7550000000000003E-2</v>
      </c>
      <c r="H30">
        <f t="shared" ref="H30" si="19">AVERAGE(H24:H29)</f>
        <v>0.24058333333333334</v>
      </c>
      <c r="I30">
        <f t="shared" ref="I30" si="20">AVERAGE(I24:I29)</f>
        <v>0.60226666666666662</v>
      </c>
      <c r="J30" s="2">
        <f t="shared" ref="J30" si="21">AVERAGE(J24:J29)</f>
        <v>-1.3150000000000002E-2</v>
      </c>
      <c r="K30">
        <f t="shared" ref="K30" si="22">AVERAGE(K24:K29)</f>
        <v>0.2346</v>
      </c>
      <c r="L30">
        <f t="shared" ref="L30" si="23">AVERAGE(L24:L29)</f>
        <v>0.52644999999999997</v>
      </c>
      <c r="M30" s="2">
        <f t="shared" ref="M30" si="24">AVERAGE(M24:M29)</f>
        <v>5.2716666666666669E-2</v>
      </c>
      <c r="N30">
        <f t="shared" ref="N30" si="25">AVERAGE(N24:N29)</f>
        <v>0.13091666666666665</v>
      </c>
      <c r="O30">
        <f t="shared" ref="O30" si="26">AVERAGE(O24:O29)</f>
        <v>0.31004999999999999</v>
      </c>
    </row>
    <row r="32" spans="1:15" x14ac:dyDescent="0.25">
      <c r="A32" t="s">
        <v>3</v>
      </c>
      <c r="B32" t="s">
        <v>4</v>
      </c>
      <c r="C32" t="s">
        <v>5</v>
      </c>
      <c r="D32" s="1" t="s">
        <v>6</v>
      </c>
      <c r="E32" t="s">
        <v>7</v>
      </c>
      <c r="F32" t="s">
        <v>8</v>
      </c>
      <c r="G32" s="1" t="s">
        <v>9</v>
      </c>
      <c r="H32" t="s">
        <v>10</v>
      </c>
      <c r="I32" t="s">
        <v>11</v>
      </c>
      <c r="J32" s="1" t="s">
        <v>12</v>
      </c>
      <c r="K32" t="s">
        <v>13</v>
      </c>
      <c r="L32" t="s">
        <v>14</v>
      </c>
      <c r="M32" s="1" t="s">
        <v>15</v>
      </c>
      <c r="N32" t="s">
        <v>16</v>
      </c>
      <c r="O32" t="s">
        <v>17</v>
      </c>
    </row>
    <row r="33" spans="1:15" x14ac:dyDescent="0.25">
      <c r="A33" t="s">
        <v>24</v>
      </c>
      <c r="B33" s="4">
        <v>146.4</v>
      </c>
      <c r="C33" s="4">
        <v>5929.4</v>
      </c>
      <c r="D33" s="2">
        <v>0.29649999999999999</v>
      </c>
      <c r="E33" s="3">
        <v>0.74870000000000003</v>
      </c>
      <c r="F33" s="3">
        <v>1.7789999999999999</v>
      </c>
      <c r="G33" s="2">
        <v>5.9499999999999997E-2</v>
      </c>
      <c r="H33" s="3">
        <v>9.6199999999999994E-2</v>
      </c>
      <c r="I33" s="3">
        <v>0.2137</v>
      </c>
      <c r="J33" s="2">
        <v>0.34849999999999998</v>
      </c>
      <c r="K33" s="3">
        <v>0.77729999999999999</v>
      </c>
      <c r="L33" s="3">
        <v>1.8933</v>
      </c>
      <c r="M33" s="2">
        <v>0.31030000000000002</v>
      </c>
      <c r="N33" s="3">
        <v>0.37219999999999998</v>
      </c>
      <c r="O33" s="3">
        <v>0.88919999999999999</v>
      </c>
    </row>
    <row r="34" spans="1:15" x14ac:dyDescent="0.25">
      <c r="A34" t="s">
        <v>25</v>
      </c>
      <c r="B34" s="4">
        <v>114</v>
      </c>
      <c r="C34" s="4">
        <v>2732.4</v>
      </c>
      <c r="D34" s="2">
        <v>1.4260999999999999</v>
      </c>
      <c r="E34" s="3">
        <v>2.2477</v>
      </c>
      <c r="F34" s="3">
        <v>5.7389000000000001</v>
      </c>
      <c r="G34" s="2">
        <v>0.89339999999999997</v>
      </c>
      <c r="H34" s="3">
        <v>0.876</v>
      </c>
      <c r="I34" s="3">
        <v>2.4378000000000002</v>
      </c>
      <c r="J34" s="2">
        <v>0.34260000000000002</v>
      </c>
      <c r="K34" s="3">
        <v>1.1718999999999999</v>
      </c>
      <c r="L34" s="3">
        <v>2.8706</v>
      </c>
      <c r="M34" s="2">
        <v>5.3900000000000003E-2</v>
      </c>
      <c r="N34" s="3">
        <v>8.0500000000000002E-2</v>
      </c>
      <c r="O34" s="3">
        <v>0.19359999999999999</v>
      </c>
    </row>
    <row r="35" spans="1:15" x14ac:dyDescent="0.25">
      <c r="A35" t="s">
        <v>26</v>
      </c>
      <c r="B35" s="4">
        <v>154.6</v>
      </c>
      <c r="C35" s="4">
        <v>8311.7999999999993</v>
      </c>
      <c r="D35" s="2">
        <v>-2.6100000000000002E-2</v>
      </c>
      <c r="E35" s="3">
        <v>0.18579999999999999</v>
      </c>
      <c r="F35" s="3">
        <v>0.4803</v>
      </c>
      <c r="G35" s="2">
        <v>0.1757</v>
      </c>
      <c r="H35" s="3">
        <v>0.37459999999999999</v>
      </c>
      <c r="I35" s="3">
        <v>0.86570000000000003</v>
      </c>
      <c r="J35" s="2">
        <v>3.4099999999999998E-2</v>
      </c>
      <c r="K35" s="3">
        <v>7.6700000000000004E-2</v>
      </c>
      <c r="L35" s="3">
        <v>0.20530000000000001</v>
      </c>
      <c r="M35" s="2">
        <v>-3.7199999999999997E-2</v>
      </c>
      <c r="N35" s="3">
        <v>0.1002</v>
      </c>
      <c r="O35" s="3">
        <v>0.26850000000000002</v>
      </c>
    </row>
    <row r="36" spans="1:15" x14ac:dyDescent="0.25">
      <c r="A36" t="s">
        <v>27</v>
      </c>
      <c r="B36" s="4">
        <v>146.4</v>
      </c>
      <c r="C36" s="4">
        <v>6025.8</v>
      </c>
      <c r="D36" s="2">
        <v>-0.1087</v>
      </c>
      <c r="E36" s="3">
        <v>0.48299999999999998</v>
      </c>
      <c r="F36" s="3">
        <v>1.1904999999999999</v>
      </c>
      <c r="G36" s="2">
        <v>0.1101</v>
      </c>
      <c r="H36" s="3">
        <v>0.20280000000000001</v>
      </c>
      <c r="I36" s="3">
        <v>0.47520000000000001</v>
      </c>
      <c r="J36" s="2">
        <v>-0.10249999999999999</v>
      </c>
      <c r="K36" s="3">
        <v>0.2621</v>
      </c>
      <c r="L36" s="3">
        <v>0.68759999999999999</v>
      </c>
      <c r="M36" s="2">
        <v>-0.12959999999999999</v>
      </c>
      <c r="N36" s="3">
        <v>0.20910000000000001</v>
      </c>
      <c r="O36" s="3">
        <v>0.50370000000000004</v>
      </c>
    </row>
    <row r="37" spans="1:15" x14ac:dyDescent="0.25">
      <c r="A37" t="s">
        <v>28</v>
      </c>
      <c r="B37" s="4">
        <v>121.6</v>
      </c>
      <c r="C37" s="4">
        <v>3560.6</v>
      </c>
      <c r="D37" s="2">
        <v>5.7599999999999998E-2</v>
      </c>
      <c r="E37" s="3">
        <v>0.27960000000000002</v>
      </c>
      <c r="F37" s="3">
        <v>0.66379999999999995</v>
      </c>
      <c r="G37" s="2">
        <v>-7.6E-3</v>
      </c>
      <c r="H37" s="3">
        <v>0.1227</v>
      </c>
      <c r="I37" s="3">
        <v>0.2878</v>
      </c>
      <c r="J37" s="2">
        <v>-2.5899999999999999E-2</v>
      </c>
      <c r="K37" s="3">
        <v>0.1656</v>
      </c>
      <c r="L37" s="3">
        <v>0.42159999999999997</v>
      </c>
      <c r="M37" s="2">
        <v>1.32E-2</v>
      </c>
      <c r="N37" s="3">
        <v>0.1145</v>
      </c>
      <c r="O37" s="3">
        <v>0.27539999999999998</v>
      </c>
    </row>
    <row r="38" spans="1:15" x14ac:dyDescent="0.25">
      <c r="A38" t="s">
        <v>29</v>
      </c>
      <c r="B38" s="4">
        <v>179.6</v>
      </c>
      <c r="C38" s="4">
        <v>13199.4</v>
      </c>
      <c r="D38" s="2">
        <v>-0.28970000000000001</v>
      </c>
      <c r="E38" s="3">
        <v>0.37709999999999999</v>
      </c>
      <c r="F38" s="3">
        <v>1.0223</v>
      </c>
      <c r="G38" s="2">
        <v>0.3513</v>
      </c>
      <c r="H38" s="3">
        <v>1.0764</v>
      </c>
      <c r="I38" s="3">
        <v>2.9114</v>
      </c>
      <c r="J38" s="2">
        <v>-0.186</v>
      </c>
      <c r="K38" s="3">
        <v>0.51900000000000002</v>
      </c>
      <c r="L38" s="3">
        <v>1.4544999999999999</v>
      </c>
      <c r="M38" s="2">
        <v>1.4802999999999999</v>
      </c>
      <c r="N38" s="3">
        <v>3.375</v>
      </c>
      <c r="O38" s="3">
        <v>7.8686999999999996</v>
      </c>
    </row>
    <row r="39" spans="1:15" x14ac:dyDescent="0.25">
      <c r="A39" t="s">
        <v>30</v>
      </c>
      <c r="B39" s="4">
        <f>AVERAGE(B33:B38)</f>
        <v>143.76666666666668</v>
      </c>
      <c r="C39" s="4">
        <f t="shared" ref="C39" si="27">AVERAGE(C33:C38)</f>
        <v>6626.5666666666657</v>
      </c>
      <c r="D39" s="2">
        <f t="shared" ref="D39" si="28">AVERAGE(D33:D38)</f>
        <v>0.22594999999999998</v>
      </c>
      <c r="E39">
        <f t="shared" ref="E39" si="29">AVERAGE(E33:E38)</f>
        <v>0.72031666666666661</v>
      </c>
      <c r="F39">
        <f t="shared" ref="F39" si="30">AVERAGE(F33:F38)</f>
        <v>1.8124666666666664</v>
      </c>
      <c r="G39" s="2">
        <f t="shared" ref="G39" si="31">AVERAGE(G33:G38)</f>
        <v>0.26373333333333332</v>
      </c>
      <c r="H39">
        <f t="shared" ref="H39" si="32">AVERAGE(H33:H38)</f>
        <v>0.45811666666666673</v>
      </c>
      <c r="I39">
        <f t="shared" ref="I39" si="33">AVERAGE(I33:I38)</f>
        <v>1.1986000000000001</v>
      </c>
      <c r="J39" s="2">
        <f t="shared" ref="J39" si="34">AVERAGE(J33:J38)</f>
        <v>6.8466666666666662E-2</v>
      </c>
      <c r="K39">
        <f t="shared" ref="K39" si="35">AVERAGE(K33:K38)</f>
        <v>0.49543333333333339</v>
      </c>
      <c r="L39">
        <f t="shared" ref="L39" si="36">AVERAGE(L33:L38)</f>
        <v>1.2554833333333333</v>
      </c>
      <c r="M39" s="2">
        <f t="shared" ref="M39" si="37">AVERAGE(M33:M38)</f>
        <v>0.28181666666666666</v>
      </c>
      <c r="N39">
        <f t="shared" ref="N39" si="38">AVERAGE(N33:N38)</f>
        <v>0.70858333333333334</v>
      </c>
      <c r="O39">
        <f t="shared" ref="O39" si="39">AVERAGE(O33:O38)</f>
        <v>1.6665166666666664</v>
      </c>
    </row>
    <row r="41" spans="1:15" x14ac:dyDescent="0.25">
      <c r="A41" t="s">
        <v>2</v>
      </c>
    </row>
    <row r="42" spans="1:15" x14ac:dyDescent="0.25">
      <c r="A42" t="s">
        <v>3</v>
      </c>
      <c r="B42" t="s">
        <v>4</v>
      </c>
      <c r="C42" t="s">
        <v>5</v>
      </c>
      <c r="D42" s="1" t="s">
        <v>6</v>
      </c>
      <c r="E42" t="s">
        <v>7</v>
      </c>
      <c r="F42" t="s">
        <v>8</v>
      </c>
      <c r="G42" s="1" t="s">
        <v>9</v>
      </c>
      <c r="H42" t="s">
        <v>10</v>
      </c>
      <c r="I42" t="s">
        <v>11</v>
      </c>
      <c r="J42" s="1" t="s">
        <v>12</v>
      </c>
      <c r="K42" t="s">
        <v>13</v>
      </c>
      <c r="L42" t="s">
        <v>14</v>
      </c>
      <c r="M42" s="1" t="s">
        <v>15</v>
      </c>
      <c r="N42" t="s">
        <v>16</v>
      </c>
      <c r="O42" t="s">
        <v>17</v>
      </c>
    </row>
    <row r="43" spans="1:15" x14ac:dyDescent="0.25">
      <c r="A43" t="s">
        <v>18</v>
      </c>
      <c r="B43" s="4">
        <v>134.6</v>
      </c>
      <c r="C43" s="4">
        <v>2895.6</v>
      </c>
      <c r="D43" s="2">
        <v>-8.8400000000000006E-2</v>
      </c>
      <c r="E43" s="3">
        <v>0.2346</v>
      </c>
      <c r="F43" s="3">
        <v>0.63070000000000004</v>
      </c>
      <c r="G43" s="2">
        <v>0.62429999999999997</v>
      </c>
      <c r="H43" s="3">
        <v>1.1560999999999999</v>
      </c>
      <c r="I43" s="3">
        <v>2.6015999999999999</v>
      </c>
      <c r="J43" s="2">
        <v>-6.2399999999999997E-2</v>
      </c>
      <c r="K43" s="3">
        <v>0.18429999999999999</v>
      </c>
      <c r="L43" s="3">
        <v>0.50239999999999996</v>
      </c>
      <c r="M43" s="2">
        <v>0.1074</v>
      </c>
      <c r="N43" s="3">
        <v>0.2707</v>
      </c>
      <c r="O43" s="3">
        <v>0.63959999999999995</v>
      </c>
    </row>
    <row r="44" spans="1:15" x14ac:dyDescent="0.25">
      <c r="A44" t="s">
        <v>19</v>
      </c>
      <c r="B44" s="4">
        <v>129.6</v>
      </c>
      <c r="C44" s="4">
        <v>2616</v>
      </c>
      <c r="D44" s="2">
        <v>0.2576</v>
      </c>
      <c r="E44" s="3">
        <v>0.39650000000000002</v>
      </c>
      <c r="F44" s="3">
        <v>0.94059999999999999</v>
      </c>
      <c r="G44" s="2">
        <v>2.8000000000000001E-2</v>
      </c>
      <c r="H44" s="3">
        <v>8.8200000000000001E-2</v>
      </c>
      <c r="I44" s="3">
        <v>0.2293</v>
      </c>
      <c r="J44" s="2">
        <v>0.13100000000000001</v>
      </c>
      <c r="K44" s="3">
        <v>0.65559999999999996</v>
      </c>
      <c r="L44" s="3">
        <v>1.8005</v>
      </c>
      <c r="M44" s="2">
        <v>-2.2000000000000001E-3</v>
      </c>
      <c r="N44" s="3">
        <v>4.5999999999999999E-3</v>
      </c>
      <c r="O44" s="3">
        <v>1.04E-2</v>
      </c>
    </row>
    <row r="45" spans="1:15" x14ac:dyDescent="0.25">
      <c r="A45" t="s">
        <v>20</v>
      </c>
      <c r="B45" s="4">
        <v>140</v>
      </c>
      <c r="C45" s="4">
        <v>3333</v>
      </c>
      <c r="D45" s="2">
        <v>-2.9600000000000001E-2</v>
      </c>
      <c r="E45" s="3">
        <v>0.13850000000000001</v>
      </c>
      <c r="F45" s="3">
        <v>0.38500000000000001</v>
      </c>
      <c r="G45" s="2">
        <v>0.33929999999999999</v>
      </c>
      <c r="H45" s="3">
        <v>0.42580000000000001</v>
      </c>
      <c r="I45" s="3">
        <v>1.0478000000000001</v>
      </c>
      <c r="J45" s="2">
        <v>5.1999999999999998E-3</v>
      </c>
      <c r="K45" s="3">
        <v>7.5300000000000006E-2</v>
      </c>
      <c r="L45" s="3">
        <v>0.15290000000000001</v>
      </c>
      <c r="M45" s="2">
        <v>-2.3199999999999998E-2</v>
      </c>
      <c r="N45" s="3">
        <v>3.8100000000000002E-2</v>
      </c>
      <c r="O45" s="3">
        <v>9.7199999999999995E-2</v>
      </c>
    </row>
    <row r="46" spans="1:15" x14ac:dyDescent="0.25">
      <c r="A46" t="s">
        <v>21</v>
      </c>
      <c r="B46" s="4">
        <v>128.4</v>
      </c>
      <c r="C46" s="4">
        <v>2495.1999999999998</v>
      </c>
      <c r="D46" s="2">
        <v>-8.1199999999999994E-2</v>
      </c>
      <c r="E46" s="3">
        <v>0.1857</v>
      </c>
      <c r="F46" s="3">
        <v>0.41039999999999999</v>
      </c>
      <c r="G46" s="2">
        <v>0.20960000000000001</v>
      </c>
      <c r="H46" s="3">
        <v>0.35630000000000001</v>
      </c>
      <c r="I46" s="3">
        <v>0.85199999999999998</v>
      </c>
      <c r="J46" s="2">
        <v>5.04E-2</v>
      </c>
      <c r="K46" s="3">
        <v>0.12559999999999999</v>
      </c>
      <c r="L46" s="3">
        <v>0.35189999999999999</v>
      </c>
      <c r="M46" s="2">
        <v>2.75E-2</v>
      </c>
      <c r="N46" s="3">
        <v>6.8500000000000005E-2</v>
      </c>
      <c r="O46" s="3">
        <v>0.1759</v>
      </c>
    </row>
    <row r="47" spans="1:15" x14ac:dyDescent="0.25">
      <c r="A47" t="s">
        <v>22</v>
      </c>
      <c r="B47" s="4">
        <v>126</v>
      </c>
      <c r="C47" s="4">
        <v>2278</v>
      </c>
      <c r="D47" s="2">
        <v>-0.1754</v>
      </c>
      <c r="E47" s="3">
        <v>0.26769999999999999</v>
      </c>
      <c r="F47" s="3">
        <v>0.60570000000000002</v>
      </c>
      <c r="G47" s="2">
        <v>1.23E-2</v>
      </c>
      <c r="H47" s="3">
        <v>0.22059999999999999</v>
      </c>
      <c r="I47" s="3">
        <v>0.62219999999999998</v>
      </c>
      <c r="J47" s="2">
        <v>-1.4200000000000001E-2</v>
      </c>
      <c r="K47" s="3">
        <v>3.1800000000000002E-2</v>
      </c>
      <c r="L47" s="3">
        <v>7.1099999999999997E-2</v>
      </c>
      <c r="M47" s="2">
        <v>-3.1600000000000003E-2</v>
      </c>
      <c r="N47" s="3">
        <v>6.3899999999999998E-2</v>
      </c>
      <c r="O47" s="3">
        <v>0.1454</v>
      </c>
    </row>
    <row r="48" spans="1:15" x14ac:dyDescent="0.25">
      <c r="A48" t="s">
        <v>23</v>
      </c>
      <c r="B48" s="4">
        <v>105.6</v>
      </c>
      <c r="C48" s="4">
        <v>1178.2</v>
      </c>
      <c r="D48" s="2">
        <v>-2.2499999999999999E-2</v>
      </c>
      <c r="E48" s="3">
        <v>4.5400000000000003E-2</v>
      </c>
      <c r="F48" s="3">
        <v>0.10349999999999999</v>
      </c>
      <c r="G48" s="2">
        <v>2.35E-2</v>
      </c>
      <c r="H48" s="3">
        <v>5.2600000000000001E-2</v>
      </c>
      <c r="I48" s="3">
        <v>0.1177</v>
      </c>
      <c r="J48" s="2">
        <v>-4.7999999999999996E-3</v>
      </c>
      <c r="K48" s="3">
        <v>1.0800000000000001E-2</v>
      </c>
      <c r="L48" s="3">
        <v>2.4199999999999999E-2</v>
      </c>
      <c r="M48" s="2">
        <v>0</v>
      </c>
      <c r="N48" s="3">
        <v>0</v>
      </c>
      <c r="O48" s="3">
        <v>0</v>
      </c>
    </row>
    <row r="49" spans="1:15" x14ac:dyDescent="0.25">
      <c r="A49" t="s">
        <v>30</v>
      </c>
      <c r="B49" s="4">
        <f>AVERAGE(B43:B48)</f>
        <v>127.36666666666667</v>
      </c>
      <c r="C49" s="4">
        <f t="shared" ref="C49" si="40">AVERAGE(C43:C48)</f>
        <v>2466</v>
      </c>
      <c r="D49" s="2">
        <f t="shared" ref="D49" si="41">AVERAGE(D43:D48)</f>
        <v>-2.3249999999999996E-2</v>
      </c>
      <c r="E49">
        <f t="shared" ref="E49" si="42">AVERAGE(E43:E48)</f>
        <v>0.21140000000000003</v>
      </c>
      <c r="F49">
        <f t="shared" ref="F49" si="43">AVERAGE(F43:F48)</f>
        <v>0.51264999999999994</v>
      </c>
      <c r="G49" s="2">
        <f t="shared" ref="G49" si="44">AVERAGE(G43:G48)</f>
        <v>0.20616666666666669</v>
      </c>
      <c r="H49">
        <f t="shared" ref="H49" si="45">AVERAGE(H43:H48)</f>
        <v>0.38326666666666664</v>
      </c>
      <c r="I49">
        <f t="shared" ref="I49" si="46">AVERAGE(I43:I48)</f>
        <v>0.91176666666666673</v>
      </c>
      <c r="J49" s="2">
        <f t="shared" ref="J49" si="47">AVERAGE(J43:J48)</f>
        <v>1.7533333333333335E-2</v>
      </c>
      <c r="K49">
        <f t="shared" ref="K49" si="48">AVERAGE(K43:K48)</f>
        <v>0.18056666666666665</v>
      </c>
      <c r="L49">
        <f t="shared" ref="L49" si="49">AVERAGE(L43:L48)</f>
        <v>0.48383333333333334</v>
      </c>
      <c r="M49" s="2">
        <f t="shared" ref="M49" si="50">AVERAGE(M43:M48)</f>
        <v>1.2983333333333333E-2</v>
      </c>
      <c r="N49">
        <f t="shared" ref="N49" si="51">AVERAGE(N43:N48)</f>
        <v>7.4300000000000005E-2</v>
      </c>
      <c r="O49">
        <f t="shared" ref="O49" si="52">AVERAGE(O43:O48)</f>
        <v>0.17808333333333329</v>
      </c>
    </row>
    <row r="51" spans="1:15" x14ac:dyDescent="0.25">
      <c r="A51" t="s">
        <v>3</v>
      </c>
      <c r="B51" t="s">
        <v>4</v>
      </c>
      <c r="C51" t="s">
        <v>5</v>
      </c>
      <c r="D51" s="1" t="s">
        <v>6</v>
      </c>
      <c r="E51" t="s">
        <v>7</v>
      </c>
      <c r="F51" t="s">
        <v>8</v>
      </c>
      <c r="G51" s="1" t="s">
        <v>9</v>
      </c>
      <c r="H51" t="s">
        <v>10</v>
      </c>
      <c r="I51" t="s">
        <v>11</v>
      </c>
      <c r="J51" s="1" t="s">
        <v>12</v>
      </c>
      <c r="K51" t="s">
        <v>13</v>
      </c>
      <c r="L51" t="s">
        <v>14</v>
      </c>
      <c r="M51" s="1" t="s">
        <v>15</v>
      </c>
      <c r="N51" t="s">
        <v>16</v>
      </c>
      <c r="O51" t="s">
        <v>17</v>
      </c>
    </row>
    <row r="52" spans="1:15" x14ac:dyDescent="0.25">
      <c r="A52" t="s">
        <v>24</v>
      </c>
      <c r="B52" s="4">
        <v>146.4</v>
      </c>
      <c r="C52" s="4">
        <v>4730.6000000000004</v>
      </c>
      <c r="D52" s="2">
        <v>0.1817</v>
      </c>
      <c r="E52" s="3">
        <v>0.43159999999999998</v>
      </c>
      <c r="F52" s="3">
        <v>1.1151</v>
      </c>
      <c r="G52" s="2">
        <v>8.6E-3</v>
      </c>
      <c r="H52" s="3">
        <v>0.2122</v>
      </c>
      <c r="I52" s="3">
        <v>0.53669999999999995</v>
      </c>
      <c r="J52" s="2">
        <v>0.25030000000000002</v>
      </c>
      <c r="K52" s="3">
        <v>0.93689999999999996</v>
      </c>
      <c r="L52" s="3">
        <v>2.4666999999999999</v>
      </c>
      <c r="M52" s="2">
        <v>-7.1400000000000005E-2</v>
      </c>
      <c r="N52" s="3">
        <v>0.13819999999999999</v>
      </c>
      <c r="O52" s="3">
        <v>0.35670000000000002</v>
      </c>
    </row>
    <row r="53" spans="1:15" x14ac:dyDescent="0.25">
      <c r="A53" t="s">
        <v>25</v>
      </c>
      <c r="B53" s="4">
        <v>114</v>
      </c>
      <c r="C53" s="4">
        <v>1922.4</v>
      </c>
      <c r="D53" s="2">
        <v>0.3039</v>
      </c>
      <c r="E53" s="3">
        <v>0.73089999999999999</v>
      </c>
      <c r="F53" s="3">
        <v>1.8874</v>
      </c>
      <c r="G53" s="2">
        <v>0.25969999999999999</v>
      </c>
      <c r="H53" s="3">
        <v>0.46539999999999998</v>
      </c>
      <c r="I53" s="3">
        <v>1.0874999999999999</v>
      </c>
      <c r="J53" s="2">
        <v>-0.189</v>
      </c>
      <c r="K53" s="3">
        <v>0.27589999999999998</v>
      </c>
      <c r="L53" s="3">
        <v>0.66759999999999997</v>
      </c>
      <c r="M53" s="2">
        <v>-0.1046</v>
      </c>
      <c r="N53" s="3">
        <v>0.2152</v>
      </c>
      <c r="O53" s="3">
        <v>0.51500000000000001</v>
      </c>
    </row>
    <row r="54" spans="1:15" x14ac:dyDescent="0.25">
      <c r="A54" t="s">
        <v>26</v>
      </c>
      <c r="B54" s="4">
        <v>154.6</v>
      </c>
      <c r="C54" s="4">
        <v>7014.6</v>
      </c>
      <c r="D54" s="2">
        <v>-7.7499999999999999E-2</v>
      </c>
      <c r="E54" s="3">
        <v>0.20430000000000001</v>
      </c>
      <c r="F54" s="3">
        <v>0.45660000000000001</v>
      </c>
      <c r="G54" s="2">
        <v>-6.4999999999999997E-3</v>
      </c>
      <c r="H54" s="3">
        <v>0.1603</v>
      </c>
      <c r="I54" s="3">
        <v>0.43490000000000001</v>
      </c>
      <c r="J54" s="2">
        <v>1.46E-2</v>
      </c>
      <c r="K54" s="3">
        <v>7.3200000000000001E-2</v>
      </c>
      <c r="L54" s="3">
        <v>0.1903</v>
      </c>
      <c r="M54" s="2">
        <v>1E-3</v>
      </c>
      <c r="N54" s="3">
        <v>2.0999999999999999E-3</v>
      </c>
      <c r="O54" s="3">
        <v>5.1999999999999998E-3</v>
      </c>
    </row>
    <row r="55" spans="1:15" x14ac:dyDescent="0.25">
      <c r="A55" t="s">
        <v>27</v>
      </c>
      <c r="B55" s="4">
        <v>146.4</v>
      </c>
      <c r="C55" s="4">
        <v>4827</v>
      </c>
      <c r="D55" s="2">
        <v>0.1111</v>
      </c>
      <c r="E55" s="3">
        <v>0.42799999999999999</v>
      </c>
      <c r="F55" s="3">
        <v>1.1155999999999999</v>
      </c>
      <c r="G55" s="2">
        <v>1.32E-2</v>
      </c>
      <c r="H55" s="3">
        <v>8.3699999999999997E-2</v>
      </c>
      <c r="I55" s="3">
        <v>0.20200000000000001</v>
      </c>
      <c r="J55" s="2">
        <v>0.1394</v>
      </c>
      <c r="K55" s="3">
        <v>0.20849999999999999</v>
      </c>
      <c r="L55" s="3">
        <v>0.54469999999999996</v>
      </c>
      <c r="M55" s="2">
        <v>-7.9500000000000001E-2</v>
      </c>
      <c r="N55" s="3">
        <v>0.18909999999999999</v>
      </c>
      <c r="O55" s="3">
        <v>0.45179999999999998</v>
      </c>
    </row>
    <row r="56" spans="1:15" x14ac:dyDescent="0.25">
      <c r="A56" t="s">
        <v>28</v>
      </c>
      <c r="B56" s="4">
        <v>121.6</v>
      </c>
      <c r="C56" s="4">
        <v>2659.4</v>
      </c>
      <c r="D56" s="2">
        <v>-1.8100000000000002E-2</v>
      </c>
      <c r="E56" s="3">
        <v>0.3377</v>
      </c>
      <c r="F56" s="3">
        <v>0.83279999999999998</v>
      </c>
      <c r="G56" s="2">
        <v>6.7400000000000002E-2</v>
      </c>
      <c r="H56" s="3">
        <v>0.18770000000000001</v>
      </c>
      <c r="I56" s="3">
        <v>0.45279999999999998</v>
      </c>
      <c r="J56" s="2">
        <v>7.9000000000000008E-3</v>
      </c>
      <c r="K56" s="3">
        <v>0.14879999999999999</v>
      </c>
      <c r="L56" s="3">
        <v>0.3664</v>
      </c>
      <c r="M56" s="2">
        <v>3.6799999999999999E-2</v>
      </c>
      <c r="N56" s="3">
        <v>4.2500000000000003E-2</v>
      </c>
      <c r="O56" s="3">
        <v>0.1067</v>
      </c>
    </row>
    <row r="57" spans="1:15" x14ac:dyDescent="0.25">
      <c r="A57" t="s">
        <v>29</v>
      </c>
      <c r="B57" s="4">
        <v>179.6</v>
      </c>
      <c r="C57" s="4">
        <v>11602.2</v>
      </c>
      <c r="D57" s="2">
        <v>-0.13420000000000001</v>
      </c>
      <c r="E57" s="3">
        <v>0.38779999999999998</v>
      </c>
      <c r="F57" s="3">
        <v>1.0757000000000001</v>
      </c>
      <c r="G57" s="2">
        <v>0.16689999999999999</v>
      </c>
      <c r="H57" s="3">
        <v>0.21829999999999999</v>
      </c>
      <c r="I57" s="3">
        <v>0.54090000000000005</v>
      </c>
      <c r="J57" s="2">
        <v>3.4099999999999998E-2</v>
      </c>
      <c r="K57" s="3">
        <v>0.22720000000000001</v>
      </c>
      <c r="L57" s="3">
        <v>0.61350000000000005</v>
      </c>
      <c r="M57" s="2">
        <v>4.0800000000000003E-2</v>
      </c>
      <c r="N57" s="3">
        <v>0.1148</v>
      </c>
      <c r="O57" s="3">
        <v>0.31430000000000002</v>
      </c>
    </row>
    <row r="58" spans="1:15" x14ac:dyDescent="0.25">
      <c r="A58" t="s">
        <v>30</v>
      </c>
      <c r="B58" s="4">
        <f>AVERAGE(B52:B57)</f>
        <v>143.76666666666668</v>
      </c>
      <c r="C58" s="4">
        <f t="shared" ref="C58" si="53">AVERAGE(C52:C57)</f>
        <v>5459.3666666666668</v>
      </c>
      <c r="D58" s="2">
        <f t="shared" ref="D58" si="54">AVERAGE(D52:D57)</f>
        <v>6.1150000000000003E-2</v>
      </c>
      <c r="E58">
        <f t="shared" ref="E58" si="55">AVERAGE(E52:E57)</f>
        <v>0.42004999999999998</v>
      </c>
      <c r="F58">
        <f t="shared" ref="F58" si="56">AVERAGE(F52:F57)</f>
        <v>1.0805333333333333</v>
      </c>
      <c r="G58" s="2">
        <f t="shared" ref="G58" si="57">AVERAGE(G52:G57)</f>
        <v>8.4883333333333325E-2</v>
      </c>
      <c r="H58">
        <f t="shared" ref="H58" si="58">AVERAGE(H52:H57)</f>
        <v>0.22126666666666664</v>
      </c>
      <c r="I58">
        <f t="shared" ref="I58" si="59">AVERAGE(I52:I57)</f>
        <v>0.54246666666666665</v>
      </c>
      <c r="J58" s="2">
        <f t="shared" ref="J58" si="60">AVERAGE(J52:J57)</f>
        <v>4.2883333333333336E-2</v>
      </c>
      <c r="K58">
        <f t="shared" ref="K58" si="61">AVERAGE(K52:K57)</f>
        <v>0.31174999999999997</v>
      </c>
      <c r="L58">
        <f t="shared" ref="L58" si="62">AVERAGE(L52:L57)</f>
        <v>0.80819999999999992</v>
      </c>
      <c r="M58" s="2">
        <f t="shared" ref="M58" si="63">AVERAGE(M52:M57)</f>
        <v>-2.9483333333333334E-2</v>
      </c>
      <c r="N58">
        <f t="shared" ref="N58" si="64">AVERAGE(N52:N57)</f>
        <v>0.11698333333333333</v>
      </c>
      <c r="O58">
        <f t="shared" ref="O58" si="65">AVERAGE(O52:O57)</f>
        <v>0.29161666666666669</v>
      </c>
    </row>
  </sheetData>
  <conditionalFormatting sqref="D4:D9">
    <cfRule type="cellIs" dxfId="47" priority="48" operator="lessThan">
      <formula>0</formula>
    </cfRule>
  </conditionalFormatting>
  <conditionalFormatting sqref="D14:D19">
    <cfRule type="cellIs" dxfId="46" priority="47" operator="lessThan">
      <formula>0</formula>
    </cfRule>
  </conditionalFormatting>
  <conditionalFormatting sqref="G4:G9">
    <cfRule type="cellIs" dxfId="45" priority="46" operator="lessThan">
      <formula>0</formula>
    </cfRule>
  </conditionalFormatting>
  <conditionalFormatting sqref="J4:J9">
    <cfRule type="cellIs" dxfId="44" priority="45" operator="lessThan">
      <formula>0</formula>
    </cfRule>
  </conditionalFormatting>
  <conditionalFormatting sqref="M4:M9">
    <cfRule type="cellIs" dxfId="43" priority="44" operator="lessThan">
      <formula>0</formula>
    </cfRule>
  </conditionalFormatting>
  <conditionalFormatting sqref="G14:G19">
    <cfRule type="cellIs" dxfId="42" priority="43" operator="lessThan">
      <formula>0</formula>
    </cfRule>
  </conditionalFormatting>
  <conditionalFormatting sqref="J14:J19">
    <cfRule type="cellIs" dxfId="41" priority="42" operator="lessThan">
      <formula>0</formula>
    </cfRule>
  </conditionalFormatting>
  <conditionalFormatting sqref="M14:M19">
    <cfRule type="cellIs" dxfId="40" priority="41" operator="lessThan">
      <formula>0</formula>
    </cfRule>
  </conditionalFormatting>
  <conditionalFormatting sqref="D24:D29">
    <cfRule type="cellIs" dxfId="39" priority="40" operator="lessThan">
      <formula>0</formula>
    </cfRule>
  </conditionalFormatting>
  <conditionalFormatting sqref="G24:G29">
    <cfRule type="cellIs" dxfId="38" priority="39" operator="lessThan">
      <formula>0</formula>
    </cfRule>
  </conditionalFormatting>
  <conditionalFormatting sqref="J24:J29">
    <cfRule type="cellIs" dxfId="37" priority="38" operator="lessThan">
      <formula>0</formula>
    </cfRule>
  </conditionalFormatting>
  <conditionalFormatting sqref="M24:M29">
    <cfRule type="cellIs" dxfId="36" priority="37" operator="lessThan">
      <formula>0</formula>
    </cfRule>
  </conditionalFormatting>
  <conditionalFormatting sqref="D33:D38">
    <cfRule type="cellIs" dxfId="35" priority="36" operator="lessThan">
      <formula>0</formula>
    </cfRule>
  </conditionalFormatting>
  <conditionalFormatting sqref="G33:G38">
    <cfRule type="cellIs" dxfId="34" priority="35" operator="lessThan">
      <formula>0</formula>
    </cfRule>
  </conditionalFormatting>
  <conditionalFormatting sqref="J33:J38">
    <cfRule type="cellIs" dxfId="33" priority="34" operator="lessThan">
      <formula>0</formula>
    </cfRule>
  </conditionalFormatting>
  <conditionalFormatting sqref="M33:M38">
    <cfRule type="cellIs" dxfId="32" priority="33" operator="lessThan">
      <formula>0</formula>
    </cfRule>
  </conditionalFormatting>
  <conditionalFormatting sqref="D43:D48">
    <cfRule type="cellIs" dxfId="31" priority="32" operator="lessThan">
      <formula>0</formula>
    </cfRule>
  </conditionalFormatting>
  <conditionalFormatting sqref="G43:G48">
    <cfRule type="cellIs" dxfId="30" priority="31" operator="lessThan">
      <formula>0</formula>
    </cfRule>
  </conditionalFormatting>
  <conditionalFormatting sqref="J43:J48">
    <cfRule type="cellIs" dxfId="29" priority="30" operator="lessThan">
      <formula>0</formula>
    </cfRule>
  </conditionalFormatting>
  <conditionalFormatting sqref="M43:M48">
    <cfRule type="cellIs" dxfId="28" priority="29" operator="lessThan">
      <formula>0</formula>
    </cfRule>
  </conditionalFormatting>
  <conditionalFormatting sqref="D52:D57">
    <cfRule type="cellIs" dxfId="27" priority="28" operator="lessThan">
      <formula>0</formula>
    </cfRule>
  </conditionalFormatting>
  <conditionalFormatting sqref="G52:G57">
    <cfRule type="cellIs" dxfId="26" priority="27" operator="lessThan">
      <formula>0</formula>
    </cfRule>
  </conditionalFormatting>
  <conditionalFormatting sqref="J52:J57">
    <cfRule type="cellIs" dxfId="25" priority="26" operator="lessThan">
      <formula>0</formula>
    </cfRule>
  </conditionalFormatting>
  <conditionalFormatting sqref="M52:M57">
    <cfRule type="cellIs" dxfId="24" priority="25" operator="lessThan">
      <formula>0</formula>
    </cfRule>
  </conditionalFormatting>
  <conditionalFormatting sqref="D10">
    <cfRule type="cellIs" dxfId="23" priority="24" operator="lessThan">
      <formula>0</formula>
    </cfRule>
  </conditionalFormatting>
  <conditionalFormatting sqref="G10">
    <cfRule type="cellIs" dxfId="22" priority="23" operator="lessThan">
      <formula>0</formula>
    </cfRule>
  </conditionalFormatting>
  <conditionalFormatting sqref="J10">
    <cfRule type="cellIs" dxfId="21" priority="22" operator="lessThan">
      <formula>0</formula>
    </cfRule>
  </conditionalFormatting>
  <conditionalFormatting sqref="M10">
    <cfRule type="cellIs" dxfId="20" priority="21" operator="lessThan">
      <formula>0</formula>
    </cfRule>
  </conditionalFormatting>
  <conditionalFormatting sqref="M20">
    <cfRule type="cellIs" dxfId="19" priority="20" operator="lessThan">
      <formula>0</formula>
    </cfRule>
  </conditionalFormatting>
  <conditionalFormatting sqref="J20">
    <cfRule type="cellIs" dxfId="18" priority="19" operator="lessThan">
      <formula>0</formula>
    </cfRule>
  </conditionalFormatting>
  <conditionalFormatting sqref="G20">
    <cfRule type="cellIs" dxfId="17" priority="18" operator="lessThan">
      <formula>0</formula>
    </cfRule>
  </conditionalFormatting>
  <conditionalFormatting sqref="D20">
    <cfRule type="cellIs" dxfId="16" priority="17" operator="lessThan">
      <formula>0</formula>
    </cfRule>
  </conditionalFormatting>
  <conditionalFormatting sqref="D30">
    <cfRule type="cellIs" dxfId="15" priority="16" operator="lessThan">
      <formula>0</formula>
    </cfRule>
  </conditionalFormatting>
  <conditionalFormatting sqref="G30">
    <cfRule type="cellIs" dxfId="14" priority="15" operator="lessThan">
      <formula>0</formula>
    </cfRule>
  </conditionalFormatting>
  <conditionalFormatting sqref="J30">
    <cfRule type="cellIs" dxfId="13" priority="14" operator="lessThan">
      <formula>0</formula>
    </cfRule>
  </conditionalFormatting>
  <conditionalFormatting sqref="M30">
    <cfRule type="cellIs" dxfId="12" priority="13" operator="lessThan">
      <formula>0</formula>
    </cfRule>
  </conditionalFormatting>
  <conditionalFormatting sqref="M39">
    <cfRule type="cellIs" dxfId="11" priority="12" operator="lessThan">
      <formula>0</formula>
    </cfRule>
  </conditionalFormatting>
  <conditionalFormatting sqref="J39">
    <cfRule type="cellIs" dxfId="10" priority="11" operator="lessThan">
      <formula>0</formula>
    </cfRule>
  </conditionalFormatting>
  <conditionalFormatting sqref="G39">
    <cfRule type="cellIs" dxfId="9" priority="10" operator="lessThan">
      <formula>0</formula>
    </cfRule>
  </conditionalFormatting>
  <conditionalFormatting sqref="D39">
    <cfRule type="cellIs" dxfId="8" priority="9" operator="lessThan">
      <formula>0</formula>
    </cfRule>
  </conditionalFormatting>
  <conditionalFormatting sqref="D49">
    <cfRule type="cellIs" dxfId="7" priority="8" operator="lessThan">
      <formula>0</formula>
    </cfRule>
  </conditionalFormatting>
  <conditionalFormatting sqref="G49">
    <cfRule type="cellIs" dxfId="6" priority="7" operator="lessThan">
      <formula>0</formula>
    </cfRule>
  </conditionalFormatting>
  <conditionalFormatting sqref="J49">
    <cfRule type="cellIs" dxfId="5" priority="6" operator="lessThan">
      <formula>0</formula>
    </cfRule>
  </conditionalFormatting>
  <conditionalFormatting sqref="M49">
    <cfRule type="cellIs" dxfId="4" priority="5" operator="lessThan">
      <formula>0</formula>
    </cfRule>
  </conditionalFormatting>
  <conditionalFormatting sqref="M58">
    <cfRule type="cellIs" dxfId="3" priority="4" operator="lessThan">
      <formula>0</formula>
    </cfRule>
  </conditionalFormatting>
  <conditionalFormatting sqref="J58">
    <cfRule type="cellIs" dxfId="2" priority="3" operator="lessThan">
      <formula>0</formula>
    </cfRule>
  </conditionalFormatting>
  <conditionalFormatting sqref="G58">
    <cfRule type="cellIs" dxfId="1" priority="2" operator="lessThan">
      <formula>0</formula>
    </cfRule>
  </conditionalFormatting>
  <conditionalFormatting sqref="D58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Vittorio Maniezzo</dc:creator>
  <cp:lastModifiedBy>Vittorio Maniezzo</cp:lastModifiedBy>
  <dcterms:created xsi:type="dcterms:W3CDTF">2026-09-08T07:50:04Z</dcterms:created>
  <dcterms:modified xsi:type="dcterms:W3CDTF">2026-09-08T08:38:22Z</dcterms:modified>
</cp:coreProperties>
</file>