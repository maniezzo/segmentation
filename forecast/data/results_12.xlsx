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egmentation\forecast\data\"/>
    </mc:Choice>
  </mc:AlternateContent>
  <xr:revisionPtr revIDLastSave="0" documentId="13_ncr:1_{F3B857BE-80F7-4EE8-BEC3-57A93AB3D07C}" xr6:coauthVersionLast="47" xr6:coauthVersionMax="47" xr10:uidLastSave="{00000000-0000-0000-0000-000000000000}"/>
  <bookViews>
    <workbookView xWindow="1476" yWindow="684" windowWidth="20388" windowHeight="13644" xr2:uid="{F88E971C-6354-4E44-8263-82A7DCD4B89A}"/>
  </bookViews>
  <sheets>
    <sheet name="results_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5" i="1" l="1"/>
  <c r="P65" i="1"/>
  <c r="L65" i="1"/>
  <c r="H65" i="1"/>
  <c r="T34" i="1"/>
  <c r="P34" i="1"/>
  <c r="L34" i="1"/>
  <c r="H34" i="1"/>
</calcChain>
</file>

<file path=xl/sharedStrings.xml><?xml version="1.0" encoding="utf-8"?>
<sst xmlns="http://schemas.openxmlformats.org/spreadsheetml/2006/main" count="79" uniqueCount="79">
  <si>
    <t>name</t>
  </si>
  <si>
    <t>npred</t>
  </si>
  <si>
    <t>npoints</t>
  </si>
  <si>
    <t>nsegm</t>
  </si>
  <si>
    <t>nIntAR</t>
  </si>
  <si>
    <t>RMSEBaseAR</t>
  </si>
  <si>
    <t>RMSEForeAR</t>
  </si>
  <si>
    <t>deltaAR</t>
  </si>
  <si>
    <t>nIntHW</t>
  </si>
  <si>
    <t>RMSEBaseHW</t>
  </si>
  <si>
    <t>RMSEForeHW</t>
  </si>
  <si>
    <t>deltaHW</t>
  </si>
  <si>
    <t>nIntTh</t>
  </si>
  <si>
    <t>RMSEBaseTh</t>
  </si>
  <si>
    <t>RMSEForeTH</t>
  </si>
  <si>
    <t>deltaTh</t>
  </si>
  <si>
    <t>nIntRF</t>
  </si>
  <si>
    <t>RMSEBaseRF</t>
  </si>
  <si>
    <t>RMSEForeRF</t>
  </si>
  <si>
    <t>deltaRF</t>
  </si>
  <si>
    <t>Q12635</t>
  </si>
  <si>
    <t>Q12163</t>
  </si>
  <si>
    <t>Q12036</t>
  </si>
  <si>
    <t>Q12726</t>
  </si>
  <si>
    <t>Q11722</t>
  </si>
  <si>
    <t>Q22725</t>
  </si>
  <si>
    <t>Q22366</t>
  </si>
  <si>
    <t>Q19569</t>
  </si>
  <si>
    <t>Q20713</t>
  </si>
  <si>
    <t>Q23085</t>
  </si>
  <si>
    <t>Q14875</t>
  </si>
  <si>
    <t>Q13248</t>
  </si>
  <si>
    <t>Q14559</t>
  </si>
  <si>
    <t>Q14720</t>
  </si>
  <si>
    <t>Q15440</t>
  </si>
  <si>
    <t>Q1757</t>
  </si>
  <si>
    <t>Q206</t>
  </si>
  <si>
    <t>Q4505</t>
  </si>
  <si>
    <t>Q2829</t>
  </si>
  <si>
    <t>Q3365</t>
  </si>
  <si>
    <t>Q10783</t>
  </si>
  <si>
    <t>Q8960</t>
  </si>
  <si>
    <t>Q11058</t>
  </si>
  <si>
    <t>Q8881</t>
  </si>
  <si>
    <t>Q9760</t>
  </si>
  <si>
    <t>Q23500</t>
  </si>
  <si>
    <t>Q23460</t>
  </si>
  <si>
    <t>Q23631</t>
  </si>
  <si>
    <t>Q23439</t>
  </si>
  <si>
    <t>Q23680</t>
  </si>
  <si>
    <t>N2701</t>
  </si>
  <si>
    <t>N2737</t>
  </si>
  <si>
    <t>N2743</t>
  </si>
  <si>
    <t>N2688</t>
  </si>
  <si>
    <t>N2721</t>
  </si>
  <si>
    <t>N2841</t>
  </si>
  <si>
    <t>N2554</t>
  </si>
  <si>
    <t>N2615</t>
  </si>
  <si>
    <t>N2522</t>
  </si>
  <si>
    <t>N2544</t>
  </si>
  <si>
    <t>N2208</t>
  </si>
  <si>
    <t>N2186</t>
  </si>
  <si>
    <t>N1979</t>
  </si>
  <si>
    <t>N2130</t>
  </si>
  <si>
    <t>N2144</t>
  </si>
  <si>
    <t>N2465</t>
  </si>
  <si>
    <t>N2511</t>
  </si>
  <si>
    <t>N2257</t>
  </si>
  <si>
    <t>N2355</t>
  </si>
  <si>
    <t>N2373</t>
  </si>
  <si>
    <t>N1861</t>
  </si>
  <si>
    <t>N1747</t>
  </si>
  <si>
    <t>N1790</t>
  </si>
  <si>
    <t>N1789</t>
  </si>
  <si>
    <t>N1751</t>
  </si>
  <si>
    <t>N2780</t>
  </si>
  <si>
    <t>N2783</t>
  </si>
  <si>
    <t>avg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</si>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</sst>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3919-043D-4941-80FA-5BD2C3713B39}">
  <dimension ref="A2:T65"/>
  <sheetViews>
    <sheetView tabSelected="1" topLeftCell="A16" workbookViewId="0">
      <selection activeCell="M50" sqref="M50"/>
    </sheetView>
  </sheetViews>
  <sheetFormatPr defaultRowHeight="14.4" x14ac:dyDescent="0.3"/>
  <cols>
    <col min="5" max="5" width="9.109375" style="1"/>
    <col min="9" max="9" width="9.109375" style="1"/>
    <col min="13" max="13" width="9.109375" style="1"/>
    <col min="17" max="17" width="9.109375" style="1"/>
  </cols>
  <sheetData>
    <row r="2" spans="1:20" x14ac:dyDescent="0.3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t="s">
        <v>5</v>
      </c>
      <c r="G2" t="s">
        <v>6</v>
      </c>
      <c r="H2" t="s">
        <v>7</v>
      </c>
      <c r="I2" s="1" t="s">
        <v>8</v>
      </c>
      <c r="J2" t="s">
        <v>9</v>
      </c>
      <c r="K2" t="s">
        <v>10</v>
      </c>
      <c r="L2" t="s">
        <v>11</v>
      </c>
      <c r="M2" s="1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</row>
    <row r="3" spans="1:20" x14ac:dyDescent="0.3">
      <c r="A3" t="s">
        <v>20</v>
      </c>
      <c r="B3">
        <v>12</v>
      </c>
      <c r="C3">
        <v>122</v>
      </c>
      <c r="D3">
        <v>3321</v>
      </c>
      <c r="E3" s="1">
        <v>3</v>
      </c>
      <c r="F3">
        <v>0.18360754063356599</v>
      </c>
      <c r="G3">
        <v>0.15966381270021099</v>
      </c>
      <c r="H3" s="2">
        <v>-0.130407105561858</v>
      </c>
      <c r="I3" s="1">
        <v>3</v>
      </c>
      <c r="J3">
        <v>0.27941283926194599</v>
      </c>
      <c r="K3">
        <v>0.27130085928359798</v>
      </c>
      <c r="L3">
        <v>-2.9032237744607201E-2</v>
      </c>
      <c r="M3" s="1">
        <v>3</v>
      </c>
      <c r="N3">
        <v>0.17542624862439499</v>
      </c>
      <c r="O3">
        <v>0.1805202916991</v>
      </c>
      <c r="P3">
        <v>2.9038089309036098E-2</v>
      </c>
      <c r="Q3" s="1">
        <v>3</v>
      </c>
      <c r="R3">
        <v>0.19587443206844701</v>
      </c>
      <c r="S3">
        <v>0.28857855429208001</v>
      </c>
      <c r="T3" s="2">
        <v>0.47328342573694399</v>
      </c>
    </row>
    <row r="4" spans="1:20" x14ac:dyDescent="0.3">
      <c r="A4" t="s">
        <v>21</v>
      </c>
      <c r="B4">
        <v>12</v>
      </c>
      <c r="C4">
        <v>115</v>
      </c>
      <c r="D4">
        <v>2775</v>
      </c>
      <c r="E4" s="1">
        <v>2</v>
      </c>
      <c r="F4">
        <v>3.6791876555828398E-2</v>
      </c>
      <c r="G4">
        <v>4.1557988610444997E-2</v>
      </c>
      <c r="H4" s="2">
        <v>0.12954251048826901</v>
      </c>
      <c r="I4" s="1">
        <v>2</v>
      </c>
      <c r="J4">
        <v>3.8420591140617202E-2</v>
      </c>
      <c r="K4">
        <v>5.0898974884095699E-2</v>
      </c>
      <c r="L4">
        <v>0.32478375196801001</v>
      </c>
      <c r="M4" s="1">
        <v>3</v>
      </c>
      <c r="N4">
        <v>3.01491001316672E-2</v>
      </c>
      <c r="O4">
        <v>3.08232145170638E-2</v>
      </c>
      <c r="P4">
        <v>2.2359353428546998E-2</v>
      </c>
      <c r="Q4" s="1">
        <v>3</v>
      </c>
      <c r="R4">
        <v>4.9762948260834501E-2</v>
      </c>
      <c r="S4">
        <v>5.1165590740838499E-2</v>
      </c>
      <c r="T4" s="2">
        <v>2.8186482694956799E-2</v>
      </c>
    </row>
    <row r="5" spans="1:20" x14ac:dyDescent="0.3">
      <c r="A5" t="s">
        <v>22</v>
      </c>
      <c r="B5">
        <v>12</v>
      </c>
      <c r="C5">
        <v>150</v>
      </c>
      <c r="D5">
        <v>5995</v>
      </c>
      <c r="E5" s="1">
        <v>4</v>
      </c>
      <c r="F5">
        <v>8.6780049154380298E-2</v>
      </c>
      <c r="G5">
        <v>7.7099348675065904E-2</v>
      </c>
      <c r="H5" s="2">
        <v>-0.111554447982537</v>
      </c>
      <c r="I5" s="1">
        <v>3</v>
      </c>
      <c r="J5">
        <v>0.122848069989426</v>
      </c>
      <c r="K5">
        <v>0.118986614110941</v>
      </c>
      <c r="L5">
        <v>-3.1432776101548897E-2</v>
      </c>
      <c r="M5" s="1">
        <v>4</v>
      </c>
      <c r="N5">
        <v>8.0500978249661806E-2</v>
      </c>
      <c r="O5">
        <v>8.5929969084192606E-2</v>
      </c>
      <c r="P5">
        <v>6.7440060389000495E-2</v>
      </c>
      <c r="Q5" s="1">
        <v>3</v>
      </c>
      <c r="R5">
        <v>9.4327240946658994E-2</v>
      </c>
      <c r="S5">
        <v>9.9227187669380698E-2</v>
      </c>
      <c r="T5" s="2">
        <v>5.1946252996974203E-2</v>
      </c>
    </row>
    <row r="6" spans="1:20" x14ac:dyDescent="0.3">
      <c r="A6" t="s">
        <v>23</v>
      </c>
      <c r="B6">
        <v>12</v>
      </c>
      <c r="C6">
        <v>161</v>
      </c>
      <c r="D6">
        <v>7260</v>
      </c>
      <c r="E6" s="1">
        <v>4</v>
      </c>
      <c r="F6">
        <v>7.3232679426855907E-2</v>
      </c>
      <c r="G6">
        <v>7.4182462834923593E-2</v>
      </c>
      <c r="H6" s="2">
        <v>1.2969393111122199E-2</v>
      </c>
      <c r="I6" s="1">
        <v>4</v>
      </c>
      <c r="J6">
        <v>5.2510576453064402E-2</v>
      </c>
      <c r="K6">
        <v>5.48653807262071E-2</v>
      </c>
      <c r="L6">
        <v>4.4844380545841098E-2</v>
      </c>
      <c r="M6" s="1">
        <v>4</v>
      </c>
      <c r="N6">
        <v>5.6951127009641403E-2</v>
      </c>
      <c r="O6">
        <v>4.89711302263987E-2</v>
      </c>
      <c r="P6">
        <v>-0.14012008545312399</v>
      </c>
      <c r="Q6" s="1">
        <v>3</v>
      </c>
      <c r="R6">
        <v>7.6112448428959797E-2</v>
      </c>
      <c r="S6">
        <v>7.9337148218791995E-2</v>
      </c>
      <c r="T6" s="2">
        <v>4.2367573982881303E-2</v>
      </c>
    </row>
    <row r="7" spans="1:20" x14ac:dyDescent="0.3">
      <c r="A7" t="s">
        <v>24</v>
      </c>
      <c r="B7">
        <v>12</v>
      </c>
      <c r="C7">
        <v>184</v>
      </c>
      <c r="D7">
        <v>10296</v>
      </c>
      <c r="E7" s="1">
        <v>2</v>
      </c>
      <c r="F7">
        <v>1.6226934191726199E-2</v>
      </c>
      <c r="G7">
        <v>2.3651722483407401E-2</v>
      </c>
      <c r="H7" s="2">
        <v>0.45755952442741799</v>
      </c>
      <c r="I7" s="1">
        <v>4</v>
      </c>
      <c r="J7">
        <v>6.7291538045810798E-2</v>
      </c>
      <c r="K7">
        <v>4.24793833523954E-2</v>
      </c>
      <c r="L7">
        <v>-0.36872622344467398</v>
      </c>
      <c r="M7" s="1">
        <v>4</v>
      </c>
      <c r="N7">
        <v>1.4011019505358E-2</v>
      </c>
      <c r="O7">
        <v>3.8520771554929598E-2</v>
      </c>
      <c r="P7">
        <v>1.7493196722906901</v>
      </c>
      <c r="Q7" s="1">
        <v>4</v>
      </c>
      <c r="R7">
        <v>1.7145278936806101E-2</v>
      </c>
      <c r="S7">
        <v>7.74204346364325E-2</v>
      </c>
      <c r="T7" s="2">
        <v>3.51555410219849</v>
      </c>
    </row>
    <row r="8" spans="1:20" x14ac:dyDescent="0.3">
      <c r="A8" t="s">
        <v>25</v>
      </c>
      <c r="B8">
        <v>12</v>
      </c>
      <c r="C8">
        <v>114</v>
      </c>
      <c r="D8">
        <v>2701</v>
      </c>
      <c r="E8" s="1">
        <v>3</v>
      </c>
      <c r="F8">
        <v>3.6666303237942198E-2</v>
      </c>
      <c r="G8">
        <v>0.22563826205476101</v>
      </c>
      <c r="H8" s="2">
        <v>5.1538317781998604</v>
      </c>
      <c r="I8" s="1">
        <v>2</v>
      </c>
      <c r="J8">
        <v>3.2359962778767799E-2</v>
      </c>
      <c r="K8">
        <v>0.26485915686622402</v>
      </c>
      <c r="L8">
        <v>7.1847794040110902</v>
      </c>
      <c r="M8" s="1">
        <v>3</v>
      </c>
      <c r="N8">
        <v>3.2771553947331299E-2</v>
      </c>
      <c r="O8">
        <v>6.8179058837721601E-2</v>
      </c>
      <c r="P8">
        <v>1.0804341151260299</v>
      </c>
      <c r="Q8" s="1">
        <v>2</v>
      </c>
      <c r="R8">
        <v>0.10205786599144601</v>
      </c>
      <c r="S8">
        <v>4.3748675825106199E-2</v>
      </c>
      <c r="T8" s="2">
        <v>-0.57133460120778101</v>
      </c>
    </row>
    <row r="9" spans="1:20" x14ac:dyDescent="0.3">
      <c r="A9" t="s">
        <v>26</v>
      </c>
      <c r="B9">
        <v>12</v>
      </c>
      <c r="C9">
        <v>122</v>
      </c>
      <c r="D9">
        <v>3321</v>
      </c>
      <c r="E9" s="1">
        <v>3</v>
      </c>
      <c r="F9">
        <v>8.8552183331845197E-2</v>
      </c>
      <c r="G9">
        <v>3.8376902277081001E-2</v>
      </c>
      <c r="H9" s="2">
        <v>-0.56661822630318004</v>
      </c>
      <c r="I9" s="1">
        <v>2</v>
      </c>
      <c r="J9">
        <v>5.6573378294431702E-2</v>
      </c>
      <c r="K9">
        <v>0.160517923689945</v>
      </c>
      <c r="L9">
        <v>1.83734025665822</v>
      </c>
      <c r="M9" s="1">
        <v>3</v>
      </c>
      <c r="N9">
        <v>6.8866461003045595E-2</v>
      </c>
      <c r="O9">
        <v>4.9808160541140602E-2</v>
      </c>
      <c r="P9">
        <v>-0.27674284672566701</v>
      </c>
      <c r="Q9" s="1">
        <v>2</v>
      </c>
      <c r="R9">
        <v>3.1775129446652499E-2</v>
      </c>
      <c r="S9">
        <v>3.1850858129023198E-2</v>
      </c>
      <c r="T9" s="2">
        <v>2.3832690437275601E-3</v>
      </c>
    </row>
    <row r="10" spans="1:20" x14ac:dyDescent="0.3">
      <c r="A10" t="s">
        <v>27</v>
      </c>
      <c r="B10">
        <v>12</v>
      </c>
      <c r="C10">
        <v>123</v>
      </c>
      <c r="D10">
        <v>3403</v>
      </c>
      <c r="E10" s="1">
        <v>3</v>
      </c>
      <c r="F10">
        <v>0.41441280189166002</v>
      </c>
      <c r="G10">
        <v>0.46110917905870702</v>
      </c>
      <c r="H10" s="2">
        <v>0.112680826832311</v>
      </c>
      <c r="I10" s="1">
        <v>3</v>
      </c>
      <c r="J10">
        <v>0.20699556273721401</v>
      </c>
      <c r="K10">
        <v>0.21757275915857799</v>
      </c>
      <c r="L10">
        <v>5.1098662606561797E-2</v>
      </c>
      <c r="M10" s="1">
        <v>3</v>
      </c>
      <c r="N10">
        <v>0.40938567636867101</v>
      </c>
      <c r="O10">
        <v>0.401155763792376</v>
      </c>
      <c r="P10">
        <v>-2.0103078957952901E-2</v>
      </c>
      <c r="Q10" s="1">
        <v>1</v>
      </c>
      <c r="R10">
        <v>0.51460218939279201</v>
      </c>
      <c r="S10">
        <v>0.51460218939279201</v>
      </c>
      <c r="T10" s="2">
        <v>0</v>
      </c>
    </row>
    <row r="11" spans="1:20" x14ac:dyDescent="0.3">
      <c r="A11" t="s">
        <v>28</v>
      </c>
      <c r="B11">
        <v>12</v>
      </c>
      <c r="C11">
        <v>102</v>
      </c>
      <c r="D11">
        <v>1891</v>
      </c>
      <c r="E11" s="1">
        <v>2</v>
      </c>
      <c r="F11">
        <v>1.8524202847874101E-2</v>
      </c>
      <c r="G11">
        <v>2.9712963068275099E-2</v>
      </c>
      <c r="H11" s="2">
        <v>0.60400764946735597</v>
      </c>
      <c r="I11" s="1">
        <v>2</v>
      </c>
      <c r="J11">
        <v>1.54562278146207E-2</v>
      </c>
      <c r="K11">
        <v>2.9280183219469E-2</v>
      </c>
      <c r="L11">
        <v>0.89439386962009104</v>
      </c>
      <c r="M11" s="1">
        <v>2</v>
      </c>
      <c r="N11">
        <v>4.40654888919167E-2</v>
      </c>
      <c r="O11">
        <v>2.1547225048078801E-2</v>
      </c>
      <c r="P11">
        <v>-0.51101813255880002</v>
      </c>
      <c r="Q11" s="1">
        <v>2</v>
      </c>
      <c r="R11">
        <v>8.0177529097606601E-2</v>
      </c>
      <c r="S11">
        <v>7.9363447037885906E-2</v>
      </c>
      <c r="T11" s="2">
        <v>-1.0153493988691E-2</v>
      </c>
    </row>
    <row r="12" spans="1:20" x14ac:dyDescent="0.3">
      <c r="A12" t="s">
        <v>29</v>
      </c>
      <c r="B12">
        <v>12</v>
      </c>
      <c r="C12">
        <v>109</v>
      </c>
      <c r="D12">
        <v>2346</v>
      </c>
      <c r="E12" s="1">
        <v>3</v>
      </c>
      <c r="F12">
        <v>0.33039430187593999</v>
      </c>
      <c r="G12">
        <v>0.92519948111737305</v>
      </c>
      <c r="H12" s="2">
        <v>1.8002888544511699</v>
      </c>
      <c r="I12" s="1">
        <v>3</v>
      </c>
      <c r="J12">
        <v>9.9957230900450597E-2</v>
      </c>
      <c r="K12">
        <v>9.5590510604052298E-2</v>
      </c>
      <c r="L12">
        <v>-4.3685887024493601E-2</v>
      </c>
      <c r="M12" s="1">
        <v>2</v>
      </c>
      <c r="N12">
        <v>0.103321489509923</v>
      </c>
      <c r="O12">
        <v>0.112218161716636</v>
      </c>
      <c r="P12">
        <v>8.6106697153826295E-2</v>
      </c>
      <c r="Q12" s="1">
        <v>3</v>
      </c>
      <c r="R12">
        <v>5.9721771033707002E-2</v>
      </c>
      <c r="S12">
        <v>5.9354646714509997E-2</v>
      </c>
      <c r="T12" s="2">
        <v>-6.1472443439396099E-3</v>
      </c>
    </row>
    <row r="13" spans="1:20" x14ac:dyDescent="0.3">
      <c r="A13" t="s">
        <v>30</v>
      </c>
      <c r="B13">
        <v>12</v>
      </c>
      <c r="C13">
        <v>154</v>
      </c>
      <c r="D13">
        <v>6441</v>
      </c>
      <c r="E13" s="1">
        <v>3</v>
      </c>
      <c r="F13">
        <v>4.5538083411783198E-2</v>
      </c>
      <c r="G13">
        <v>4.1014660410022101E-2</v>
      </c>
      <c r="H13" s="2">
        <v>-9.9332748830413903E-2</v>
      </c>
      <c r="I13" s="1">
        <v>3</v>
      </c>
      <c r="J13">
        <v>6.4300776021400594E-2</v>
      </c>
      <c r="K13">
        <v>6.5344444301052906E-2</v>
      </c>
      <c r="L13">
        <v>1.6231037076519399E-2</v>
      </c>
      <c r="M13" s="1">
        <v>4</v>
      </c>
      <c r="N13">
        <v>4.45605030491018E-2</v>
      </c>
      <c r="O13">
        <v>5.2854270505683698E-2</v>
      </c>
      <c r="P13">
        <v>0.186123739389632</v>
      </c>
      <c r="Q13" s="1">
        <v>3</v>
      </c>
      <c r="R13">
        <v>4.3371193887583703E-2</v>
      </c>
      <c r="S13">
        <v>4.2165521064128998E-2</v>
      </c>
      <c r="T13" s="2">
        <v>-2.7798930935120199E-2</v>
      </c>
    </row>
    <row r="14" spans="1:20" x14ac:dyDescent="0.3">
      <c r="A14" t="s">
        <v>31</v>
      </c>
      <c r="B14">
        <v>12</v>
      </c>
      <c r="C14">
        <v>271</v>
      </c>
      <c r="D14">
        <v>26565</v>
      </c>
      <c r="E14" s="1">
        <v>6</v>
      </c>
      <c r="F14">
        <v>0.13405108032150301</v>
      </c>
      <c r="G14">
        <v>0.171607616323871</v>
      </c>
      <c r="H14" s="2">
        <v>0.28016585850925901</v>
      </c>
      <c r="I14" s="1">
        <v>7</v>
      </c>
      <c r="J14">
        <v>0.142823009458759</v>
      </c>
      <c r="K14">
        <v>0.14882105110604599</v>
      </c>
      <c r="L14">
        <v>4.1996325872260001E-2</v>
      </c>
      <c r="M14" s="1">
        <v>5</v>
      </c>
      <c r="N14">
        <v>0.16056363346371</v>
      </c>
      <c r="O14">
        <v>0.154646072751912</v>
      </c>
      <c r="P14">
        <v>-3.6854925266351098E-2</v>
      </c>
      <c r="Q14" s="1">
        <v>5</v>
      </c>
      <c r="R14">
        <v>0.19038089782214701</v>
      </c>
      <c r="S14">
        <v>0.18935231090506699</v>
      </c>
      <c r="T14" s="2">
        <v>-5.4027842543352897E-3</v>
      </c>
    </row>
    <row r="15" spans="1:20" x14ac:dyDescent="0.3">
      <c r="A15" t="s">
        <v>32</v>
      </c>
      <c r="B15">
        <v>12</v>
      </c>
      <c r="C15">
        <v>115</v>
      </c>
      <c r="D15">
        <v>2775</v>
      </c>
      <c r="E15" s="1">
        <v>3</v>
      </c>
      <c r="F15">
        <v>0.17261972260116301</v>
      </c>
      <c r="G15">
        <v>0.170136533995393</v>
      </c>
      <c r="H15" s="2">
        <v>-1.4385312224763899E-2</v>
      </c>
      <c r="I15" s="1">
        <v>2</v>
      </c>
      <c r="J15">
        <v>0.205893468651591</v>
      </c>
      <c r="K15">
        <v>0.21970290426081701</v>
      </c>
      <c r="L15">
        <v>6.7070780339293395E-2</v>
      </c>
      <c r="M15" s="1">
        <v>3</v>
      </c>
      <c r="N15">
        <v>0.19684426285421</v>
      </c>
      <c r="O15">
        <v>0.200088448094426</v>
      </c>
      <c r="P15">
        <v>1.6480974315308299E-2</v>
      </c>
      <c r="Q15" s="1">
        <v>3</v>
      </c>
      <c r="R15">
        <v>0.168658935491909</v>
      </c>
      <c r="S15">
        <v>0.16323258264533599</v>
      </c>
      <c r="T15" s="2">
        <v>-3.2173527188145902E-2</v>
      </c>
    </row>
    <row r="16" spans="1:20" x14ac:dyDescent="0.3">
      <c r="A16" t="s">
        <v>33</v>
      </c>
      <c r="B16">
        <v>12</v>
      </c>
      <c r="C16">
        <v>115</v>
      </c>
      <c r="D16">
        <v>2775</v>
      </c>
      <c r="E16" s="1">
        <v>3</v>
      </c>
      <c r="F16">
        <v>0.275976111998259</v>
      </c>
      <c r="G16">
        <v>0.24688627224322299</v>
      </c>
      <c r="H16" s="2">
        <v>-0.10540709318790401</v>
      </c>
      <c r="I16" s="1">
        <v>2</v>
      </c>
      <c r="J16">
        <v>0.151341186674883</v>
      </c>
      <c r="K16">
        <v>0.148928044999079</v>
      </c>
      <c r="L16">
        <v>-1.5945042647166001E-2</v>
      </c>
      <c r="M16" s="1">
        <v>2</v>
      </c>
      <c r="N16">
        <v>0.16171797029138299</v>
      </c>
      <c r="O16">
        <v>0.15620252043232699</v>
      </c>
      <c r="P16">
        <v>-3.4105361631231401E-2</v>
      </c>
      <c r="Q16" s="1">
        <v>3</v>
      </c>
      <c r="R16">
        <v>0.210151193608798</v>
      </c>
      <c r="S16">
        <v>0.206927973113676</v>
      </c>
      <c r="T16" s="2">
        <v>-1.5337626400170499E-2</v>
      </c>
    </row>
    <row r="17" spans="1:20" x14ac:dyDescent="0.3">
      <c r="A17" t="s">
        <v>34</v>
      </c>
      <c r="B17">
        <v>12</v>
      </c>
      <c r="C17">
        <v>118</v>
      </c>
      <c r="D17">
        <v>3003</v>
      </c>
      <c r="E17" s="1">
        <v>2</v>
      </c>
      <c r="F17">
        <v>0.15081227161192301</v>
      </c>
      <c r="G17">
        <v>0.21977320714922799</v>
      </c>
      <c r="H17" s="2">
        <v>0.457263422931246</v>
      </c>
      <c r="I17" s="1">
        <v>3</v>
      </c>
      <c r="J17">
        <v>9.3037420529476597E-2</v>
      </c>
      <c r="K17">
        <v>9.8525762787136095E-2</v>
      </c>
      <c r="L17">
        <v>5.89906967156364E-2</v>
      </c>
      <c r="M17" s="1">
        <v>2</v>
      </c>
      <c r="N17">
        <v>0.105545977276075</v>
      </c>
      <c r="O17">
        <v>0.12757068049162901</v>
      </c>
      <c r="P17">
        <v>0.20867401850801601</v>
      </c>
      <c r="Q17" s="1">
        <v>2</v>
      </c>
      <c r="R17">
        <v>0.188887542676905</v>
      </c>
      <c r="S17">
        <v>0.149371369668237</v>
      </c>
      <c r="T17" s="2">
        <v>-0.20920475987270701</v>
      </c>
    </row>
    <row r="18" spans="1:20" x14ac:dyDescent="0.3">
      <c r="A18" t="s">
        <v>35</v>
      </c>
      <c r="B18">
        <v>12</v>
      </c>
      <c r="C18">
        <v>165</v>
      </c>
      <c r="D18">
        <v>7750</v>
      </c>
      <c r="E18" s="1">
        <v>2</v>
      </c>
      <c r="F18">
        <v>0.110578783332342</v>
      </c>
      <c r="G18">
        <v>6.4931622869492403E-2</v>
      </c>
      <c r="H18" s="2">
        <v>-0.412802158671421</v>
      </c>
      <c r="I18" s="1">
        <v>2</v>
      </c>
      <c r="J18">
        <v>7.3271884424819703E-2</v>
      </c>
      <c r="K18">
        <v>8.2027350995835094E-2</v>
      </c>
      <c r="L18">
        <v>0.119492853769837</v>
      </c>
      <c r="M18" s="1">
        <v>2</v>
      </c>
      <c r="N18">
        <v>8.4208930993360701E-2</v>
      </c>
      <c r="O18">
        <v>9.1568855213266798E-2</v>
      </c>
      <c r="P18">
        <v>8.7400755870969293E-2</v>
      </c>
      <c r="Q18" s="1">
        <v>2</v>
      </c>
      <c r="R18">
        <v>8.3191714674297396E-2</v>
      </c>
      <c r="S18">
        <v>7.7694498375169799E-2</v>
      </c>
      <c r="T18" s="2">
        <v>-6.6078891637822199E-2</v>
      </c>
    </row>
    <row r="19" spans="1:20" x14ac:dyDescent="0.3">
      <c r="A19" t="s">
        <v>36</v>
      </c>
      <c r="B19">
        <v>12</v>
      </c>
      <c r="C19">
        <v>108</v>
      </c>
      <c r="D19">
        <v>2278</v>
      </c>
      <c r="E19" s="1">
        <v>2</v>
      </c>
      <c r="F19">
        <v>2.1955992943111499E-2</v>
      </c>
      <c r="G19">
        <v>4.2226070165471703E-2</v>
      </c>
      <c r="H19" s="2">
        <v>0.92321387034876301</v>
      </c>
      <c r="I19" s="1">
        <v>1</v>
      </c>
      <c r="J19">
        <v>4.4326625084573502E-2</v>
      </c>
      <c r="K19">
        <v>4.4326625084573502E-2</v>
      </c>
      <c r="L19">
        <v>0</v>
      </c>
      <c r="M19" s="1">
        <v>3</v>
      </c>
      <c r="N19">
        <v>0.10277041618836499</v>
      </c>
      <c r="O19">
        <v>8.9746926530920104E-2</v>
      </c>
      <c r="P19">
        <v>-0.12672411128095901</v>
      </c>
      <c r="Q19" s="1">
        <v>2</v>
      </c>
      <c r="R19">
        <v>0.13970150992602801</v>
      </c>
      <c r="S19">
        <v>0.138362426655607</v>
      </c>
      <c r="T19" s="2">
        <v>-9.5853170887709397E-3</v>
      </c>
    </row>
    <row r="20" spans="1:20" x14ac:dyDescent="0.3">
      <c r="A20" t="s">
        <v>37</v>
      </c>
      <c r="B20">
        <v>12</v>
      </c>
      <c r="C20">
        <v>162</v>
      </c>
      <c r="D20">
        <v>7381</v>
      </c>
      <c r="E20" s="1">
        <v>4</v>
      </c>
      <c r="F20">
        <v>0.156532231627065</v>
      </c>
      <c r="G20">
        <v>8.1580100583596604E-2</v>
      </c>
      <c r="H20" s="2">
        <v>-0.47882873874845699</v>
      </c>
      <c r="I20" s="1">
        <v>4</v>
      </c>
      <c r="J20">
        <v>0.23979469835471201</v>
      </c>
      <c r="K20">
        <v>0.263921312801776</v>
      </c>
      <c r="L20">
        <v>0.100613627459666</v>
      </c>
      <c r="M20" s="1">
        <v>4</v>
      </c>
      <c r="N20">
        <v>0.211664715776094</v>
      </c>
      <c r="O20">
        <v>0.22150603055877699</v>
      </c>
      <c r="P20">
        <v>4.6494829081924198E-2</v>
      </c>
      <c r="Q20" s="1">
        <v>4</v>
      </c>
      <c r="R20">
        <v>0.17505429547764401</v>
      </c>
      <c r="S20">
        <v>0.18638845306021601</v>
      </c>
      <c r="T20" s="2">
        <v>6.4746526508515603E-2</v>
      </c>
    </row>
    <row r="21" spans="1:20" x14ac:dyDescent="0.3">
      <c r="A21" t="s">
        <v>38</v>
      </c>
      <c r="B21">
        <v>12</v>
      </c>
      <c r="C21">
        <v>116</v>
      </c>
      <c r="D21">
        <v>2850</v>
      </c>
      <c r="E21" s="1">
        <v>3</v>
      </c>
      <c r="F21">
        <v>0.14184759775533801</v>
      </c>
      <c r="G21">
        <v>0.13878682435547601</v>
      </c>
      <c r="H21" s="2">
        <v>-2.1577900847792601E-2</v>
      </c>
      <c r="I21" s="1">
        <v>2</v>
      </c>
      <c r="J21">
        <v>6.8547774383294804E-2</v>
      </c>
      <c r="K21">
        <v>8.6225771425909495E-2</v>
      </c>
      <c r="L21">
        <v>0.25789308554010199</v>
      </c>
      <c r="M21" s="1">
        <v>2</v>
      </c>
      <c r="N21">
        <v>9.2029285735425598E-2</v>
      </c>
      <c r="O21">
        <v>7.9933414958884105E-2</v>
      </c>
      <c r="P21">
        <v>-0.13143501744994299</v>
      </c>
      <c r="Q21" s="1">
        <v>2</v>
      </c>
      <c r="R21">
        <v>0.13021319928339101</v>
      </c>
      <c r="S21">
        <v>0.12693722774902799</v>
      </c>
      <c r="T21" s="2">
        <v>-2.5158521197481701E-2</v>
      </c>
    </row>
    <row r="22" spans="1:20" x14ac:dyDescent="0.3">
      <c r="A22" t="s">
        <v>39</v>
      </c>
      <c r="B22">
        <v>12</v>
      </c>
      <c r="C22">
        <v>181</v>
      </c>
      <c r="D22">
        <v>9870</v>
      </c>
      <c r="E22" s="1">
        <v>5</v>
      </c>
      <c r="F22">
        <v>0.24452538271348101</v>
      </c>
      <c r="G22">
        <v>0.197912348503858</v>
      </c>
      <c r="H22" s="2">
        <v>-0.19062656683065399</v>
      </c>
      <c r="I22" s="1">
        <v>4</v>
      </c>
      <c r="J22">
        <v>0.24147954906430999</v>
      </c>
      <c r="K22">
        <v>0.32120598904198799</v>
      </c>
      <c r="L22">
        <v>0.33015814501312302</v>
      </c>
      <c r="M22" s="1">
        <v>3</v>
      </c>
      <c r="N22">
        <v>0.24077035022764401</v>
      </c>
      <c r="O22">
        <v>0.25232835841780399</v>
      </c>
      <c r="P22">
        <v>4.8004283663801398E-2</v>
      </c>
      <c r="Q22" s="1">
        <v>3</v>
      </c>
      <c r="R22">
        <v>0.222765882151616</v>
      </c>
      <c r="S22">
        <v>0.236197038486615</v>
      </c>
      <c r="T22" s="2">
        <v>6.0292699246725097E-2</v>
      </c>
    </row>
    <row r="23" spans="1:20" x14ac:dyDescent="0.3">
      <c r="A23" t="s">
        <v>40</v>
      </c>
      <c r="B23">
        <v>12</v>
      </c>
      <c r="C23">
        <v>118</v>
      </c>
      <c r="D23">
        <v>3003</v>
      </c>
      <c r="E23" s="1">
        <v>2</v>
      </c>
      <c r="F23">
        <v>0.222118337023573</v>
      </c>
      <c r="G23">
        <v>0.15858262715093099</v>
      </c>
      <c r="H23" s="2">
        <v>-0.28604441544102899</v>
      </c>
      <c r="I23" s="1">
        <v>2</v>
      </c>
      <c r="J23">
        <v>0.133200499011775</v>
      </c>
      <c r="K23">
        <v>0.12400362445026</v>
      </c>
      <c r="L23">
        <v>-6.9045346149204198E-2</v>
      </c>
      <c r="M23" s="1">
        <v>3</v>
      </c>
      <c r="N23">
        <v>0.14001314677229601</v>
      </c>
      <c r="O23">
        <v>0.14930377522014801</v>
      </c>
      <c r="P23">
        <v>6.6355400632209002E-2</v>
      </c>
      <c r="Q23" s="1">
        <v>2</v>
      </c>
      <c r="R23">
        <v>0.15146806771427301</v>
      </c>
      <c r="S23">
        <v>0.13731333810260499</v>
      </c>
      <c r="T23" s="2">
        <v>-9.3450255392244996E-2</v>
      </c>
    </row>
    <row r="24" spans="1:20" x14ac:dyDescent="0.3">
      <c r="A24" t="s">
        <v>41</v>
      </c>
      <c r="B24">
        <v>12</v>
      </c>
      <c r="C24">
        <v>103</v>
      </c>
      <c r="D24">
        <v>1953</v>
      </c>
      <c r="E24" s="1">
        <v>2</v>
      </c>
      <c r="F24">
        <v>0.16293739233656701</v>
      </c>
      <c r="G24">
        <v>0.14508086239187001</v>
      </c>
      <c r="H24" s="2">
        <v>-0.109591357076663</v>
      </c>
      <c r="I24" s="1">
        <v>2</v>
      </c>
      <c r="J24">
        <v>0.20480210714470301</v>
      </c>
      <c r="K24">
        <v>0.24472549492634199</v>
      </c>
      <c r="L24">
        <v>0.194936411242251</v>
      </c>
      <c r="M24" s="1">
        <v>2</v>
      </c>
      <c r="N24">
        <v>0.17181469519284401</v>
      </c>
      <c r="O24">
        <v>0.19359705605019101</v>
      </c>
      <c r="P24">
        <v>0.12677821785207899</v>
      </c>
      <c r="Q24" s="1">
        <v>2</v>
      </c>
      <c r="R24">
        <v>0.182429569962508</v>
      </c>
      <c r="S24">
        <v>0.19054641988516</v>
      </c>
      <c r="T24" s="2">
        <v>4.4493060660726398E-2</v>
      </c>
    </row>
    <row r="25" spans="1:20" x14ac:dyDescent="0.3">
      <c r="A25" t="s">
        <v>42</v>
      </c>
      <c r="B25">
        <v>12</v>
      </c>
      <c r="C25">
        <v>114</v>
      </c>
      <c r="D25">
        <v>2701</v>
      </c>
      <c r="E25" s="1">
        <v>1</v>
      </c>
      <c r="F25">
        <v>5.1346711728193599E-2</v>
      </c>
      <c r="G25">
        <v>5.1346711728193599E-2</v>
      </c>
      <c r="H25" s="2">
        <v>0</v>
      </c>
      <c r="I25" s="1">
        <v>1</v>
      </c>
      <c r="J25">
        <v>4.4943586159297E-2</v>
      </c>
      <c r="K25">
        <v>4.4943586159297E-2</v>
      </c>
      <c r="L25">
        <v>0</v>
      </c>
      <c r="M25" s="1">
        <v>3</v>
      </c>
      <c r="N25">
        <v>6.9469386430741201E-2</v>
      </c>
      <c r="O25">
        <v>7.6260068828770095E-2</v>
      </c>
      <c r="P25">
        <v>9.7750717933848305E-2</v>
      </c>
      <c r="Q25" s="1">
        <v>2</v>
      </c>
      <c r="R25">
        <v>0.108862585562559</v>
      </c>
      <c r="S25">
        <v>0.113802556245182</v>
      </c>
      <c r="T25" s="2">
        <v>4.5378039269370798E-2</v>
      </c>
    </row>
    <row r="26" spans="1:20" x14ac:dyDescent="0.3">
      <c r="A26" t="s">
        <v>43</v>
      </c>
      <c r="B26">
        <v>12</v>
      </c>
      <c r="C26">
        <v>167</v>
      </c>
      <c r="D26">
        <v>8001</v>
      </c>
      <c r="E26" s="1">
        <v>5</v>
      </c>
      <c r="F26">
        <v>0.21567476396535401</v>
      </c>
      <c r="G26">
        <v>0.28164250417645098</v>
      </c>
      <c r="H26" s="2">
        <v>0.30586675510025502</v>
      </c>
      <c r="I26" s="1">
        <v>5</v>
      </c>
      <c r="J26">
        <v>9.12116197000752E-2</v>
      </c>
      <c r="K26">
        <v>0.115562737044775</v>
      </c>
      <c r="L26">
        <v>0.26697385075248597</v>
      </c>
      <c r="M26" s="1">
        <v>5</v>
      </c>
      <c r="N26">
        <v>0.15609248656833799</v>
      </c>
      <c r="O26">
        <v>0.10995362316344801</v>
      </c>
      <c r="P26">
        <v>-0.29558670259692299</v>
      </c>
      <c r="Q26" s="1">
        <v>4</v>
      </c>
      <c r="R26">
        <v>0.208047855240798</v>
      </c>
      <c r="S26">
        <v>0.196392495295936</v>
      </c>
      <c r="T26" s="2">
        <v>-5.6022495071492602E-2</v>
      </c>
    </row>
    <row r="27" spans="1:20" x14ac:dyDescent="0.3">
      <c r="A27" t="s">
        <v>44</v>
      </c>
      <c r="B27">
        <v>12</v>
      </c>
      <c r="C27">
        <v>106</v>
      </c>
      <c r="D27">
        <v>2145</v>
      </c>
      <c r="E27" s="1">
        <v>2</v>
      </c>
      <c r="F27">
        <v>8.3387846935513196E-2</v>
      </c>
      <c r="G27">
        <v>0.119695802964065</v>
      </c>
      <c r="H27" s="2">
        <v>0.43541064271188601</v>
      </c>
      <c r="I27" s="1">
        <v>2</v>
      </c>
      <c r="J27">
        <v>0.15271382504946401</v>
      </c>
      <c r="K27">
        <v>0.16274231343956899</v>
      </c>
      <c r="L27">
        <v>6.5668503731451999E-2</v>
      </c>
      <c r="M27" s="1">
        <v>2</v>
      </c>
      <c r="N27">
        <v>0.14174598100060801</v>
      </c>
      <c r="O27">
        <v>0.144333718004265</v>
      </c>
      <c r="P27">
        <v>1.825615784934E-2</v>
      </c>
      <c r="Q27" s="1">
        <v>1</v>
      </c>
      <c r="R27">
        <v>0.20249510928938899</v>
      </c>
      <c r="S27">
        <v>0.20249510928938899</v>
      </c>
      <c r="T27" s="2">
        <v>0</v>
      </c>
    </row>
    <row r="28" spans="1:20" x14ac:dyDescent="0.3">
      <c r="A28" t="s">
        <v>45</v>
      </c>
      <c r="B28">
        <v>12</v>
      </c>
      <c r="C28">
        <v>122</v>
      </c>
      <c r="D28">
        <v>3321</v>
      </c>
      <c r="E28" s="1">
        <v>2</v>
      </c>
      <c r="F28">
        <v>0.17315045250205</v>
      </c>
      <c r="G28">
        <v>0.137125324217485</v>
      </c>
      <c r="H28" s="2">
        <v>-0.208056795486216</v>
      </c>
      <c r="I28" s="1">
        <v>2</v>
      </c>
      <c r="J28">
        <v>0.147275406288324</v>
      </c>
      <c r="K28">
        <v>8.22192417768004E-2</v>
      </c>
      <c r="L28">
        <v>-0.44173135319119</v>
      </c>
      <c r="M28" s="1">
        <v>3</v>
      </c>
      <c r="N28">
        <v>5.8267802058530403E-2</v>
      </c>
      <c r="O28">
        <v>3.4432537948088697E-2</v>
      </c>
      <c r="P28">
        <v>-0.40906406743297102</v>
      </c>
      <c r="Q28" s="1">
        <v>3</v>
      </c>
      <c r="R28">
        <v>5.7792647319186499E-2</v>
      </c>
      <c r="S28">
        <v>5.2994551251880601E-2</v>
      </c>
      <c r="T28" s="2">
        <v>-8.3022603910255094E-2</v>
      </c>
    </row>
    <row r="29" spans="1:20" x14ac:dyDescent="0.3">
      <c r="A29" t="s">
        <v>46</v>
      </c>
      <c r="B29">
        <v>12</v>
      </c>
      <c r="C29">
        <v>122</v>
      </c>
      <c r="D29">
        <v>3321</v>
      </c>
      <c r="E29" s="1">
        <v>2</v>
      </c>
      <c r="F29">
        <v>7.9317635659424304E-2</v>
      </c>
      <c r="G29">
        <v>3.5025219800764902E-2</v>
      </c>
      <c r="H29" s="2">
        <v>-0.55841825705500203</v>
      </c>
      <c r="I29" s="1">
        <v>2</v>
      </c>
      <c r="J29">
        <v>6.0266683013888302E-2</v>
      </c>
      <c r="K29">
        <v>8.62953586370796E-3</v>
      </c>
      <c r="L29">
        <v>-0.85681083756145504</v>
      </c>
      <c r="M29" s="1">
        <v>2</v>
      </c>
      <c r="N29">
        <v>9.1467373306537397E-2</v>
      </c>
      <c r="O29">
        <v>8.2199997131957095E-2</v>
      </c>
      <c r="P29">
        <v>-0.101318927608451</v>
      </c>
      <c r="Q29" s="1">
        <v>2</v>
      </c>
      <c r="R29">
        <v>0.122141953364412</v>
      </c>
      <c r="S29">
        <v>0.122438058940729</v>
      </c>
      <c r="T29" s="2">
        <v>2.42427411843388E-3</v>
      </c>
    </row>
    <row r="30" spans="1:20" x14ac:dyDescent="0.3">
      <c r="A30" t="s">
        <v>47</v>
      </c>
      <c r="B30">
        <v>12</v>
      </c>
      <c r="C30">
        <v>338</v>
      </c>
      <c r="D30">
        <v>44253</v>
      </c>
      <c r="E30" s="1">
        <v>8</v>
      </c>
      <c r="F30">
        <v>0.100008069600291</v>
      </c>
      <c r="G30">
        <v>0.13087662123069699</v>
      </c>
      <c r="H30" s="2">
        <v>0.30866060862667999</v>
      </c>
      <c r="I30" s="1">
        <v>6</v>
      </c>
      <c r="J30">
        <v>2.5216723215816101E-2</v>
      </c>
      <c r="K30">
        <v>7.0171165680247199E-2</v>
      </c>
      <c r="L30">
        <v>1.7827233966796801</v>
      </c>
      <c r="M30" s="1">
        <v>6</v>
      </c>
      <c r="N30">
        <v>2.8026299667566101E-2</v>
      </c>
      <c r="O30">
        <v>2.7218963477982298E-2</v>
      </c>
      <c r="P30">
        <v>-2.88063782646997E-2</v>
      </c>
      <c r="Q30" s="1">
        <v>5</v>
      </c>
      <c r="R30">
        <v>2.1173660561411799E-2</v>
      </c>
      <c r="S30">
        <v>0.16776856679206201</v>
      </c>
      <c r="T30" s="2">
        <v>6.9234559515804301</v>
      </c>
    </row>
    <row r="31" spans="1:20" x14ac:dyDescent="0.3">
      <c r="A31" t="s">
        <v>48</v>
      </c>
      <c r="B31">
        <v>12</v>
      </c>
      <c r="C31">
        <v>122</v>
      </c>
      <c r="D31">
        <v>3321</v>
      </c>
      <c r="E31" s="1">
        <v>3</v>
      </c>
      <c r="F31">
        <v>0.175441000714464</v>
      </c>
      <c r="G31">
        <v>0.22129449978768601</v>
      </c>
      <c r="H31" s="2">
        <v>0.261361363002311</v>
      </c>
      <c r="I31" s="1">
        <v>3</v>
      </c>
      <c r="J31">
        <v>0.10446697887470099</v>
      </c>
      <c r="K31">
        <v>0.104626205962213</v>
      </c>
      <c r="L31">
        <v>1.52418581667737E-3</v>
      </c>
      <c r="M31" s="1">
        <v>3</v>
      </c>
      <c r="N31">
        <v>0.118122329386497</v>
      </c>
      <c r="O31">
        <v>0.119572953660546</v>
      </c>
      <c r="P31">
        <v>1.228069478127E-2</v>
      </c>
      <c r="Q31" s="1">
        <v>3</v>
      </c>
      <c r="R31">
        <v>0.123000897038183</v>
      </c>
      <c r="S31">
        <v>0.12711973826258</v>
      </c>
      <c r="T31" s="2">
        <v>3.3486269804346699E-2</v>
      </c>
    </row>
    <row r="32" spans="1:20" x14ac:dyDescent="0.3">
      <c r="A32" t="s">
        <v>49</v>
      </c>
      <c r="B32">
        <v>12</v>
      </c>
      <c r="C32">
        <v>194</v>
      </c>
      <c r="D32">
        <v>11781</v>
      </c>
      <c r="E32" s="1">
        <v>4</v>
      </c>
      <c r="F32">
        <v>0.115094473171249</v>
      </c>
      <c r="G32">
        <v>3.2298623277332697E-2</v>
      </c>
      <c r="H32" s="2">
        <v>-0.71937294304935295</v>
      </c>
      <c r="I32" s="1">
        <v>5</v>
      </c>
      <c r="J32">
        <v>6.5027385535392404E-2</v>
      </c>
      <c r="K32">
        <v>9.3046879657199405E-2</v>
      </c>
      <c r="L32">
        <v>0.430887600525732</v>
      </c>
      <c r="M32" s="1">
        <v>4</v>
      </c>
      <c r="N32">
        <v>8.2461048235571405E-2</v>
      </c>
      <c r="O32">
        <v>1.03596753550548E-2</v>
      </c>
      <c r="P32">
        <v>-0.87436886170231798</v>
      </c>
      <c r="Q32" s="1">
        <v>2</v>
      </c>
      <c r="R32">
        <v>8.0548531697693604E-2</v>
      </c>
      <c r="S32">
        <v>7.9215690939714506E-2</v>
      </c>
      <c r="T32" s="2">
        <v>-1.6547052191855701E-2</v>
      </c>
    </row>
    <row r="34" spans="1:20" x14ac:dyDescent="0.3">
      <c r="A34" t="s">
        <v>77</v>
      </c>
      <c r="H34">
        <f>AVERAGE(H3:H32)</f>
        <v>0.24099329969702213</v>
      </c>
      <c r="L34">
        <f>AVERAGE(L3:L32)</f>
        <v>0.40719970406933953</v>
      </c>
      <c r="P34">
        <f>AVERAGE(P3:P32)</f>
        <v>3.2101642688204542E-2</v>
      </c>
      <c r="T34">
        <f>AVERAGE(T3:T32)</f>
        <v>0.33535266077205689</v>
      </c>
    </row>
    <row r="37" spans="1:20" x14ac:dyDescent="0.3">
      <c r="A37" t="s">
        <v>50</v>
      </c>
      <c r="B37">
        <v>12</v>
      </c>
      <c r="C37">
        <v>135</v>
      </c>
      <c r="D37">
        <v>4465</v>
      </c>
      <c r="E37" s="1">
        <v>2</v>
      </c>
      <c r="F37">
        <v>4.5975716329762301E-2</v>
      </c>
      <c r="G37">
        <v>6.0762108041128103E-2</v>
      </c>
      <c r="H37">
        <v>0.321613079507232</v>
      </c>
      <c r="I37" s="1">
        <v>3</v>
      </c>
      <c r="J37">
        <v>1.0039745354375299E-2</v>
      </c>
      <c r="K37">
        <v>2.19685355298255E-2</v>
      </c>
      <c r="L37">
        <v>1.1881566468467899</v>
      </c>
      <c r="M37" s="1">
        <v>2</v>
      </c>
      <c r="N37">
        <v>3.7405363137504997E-2</v>
      </c>
      <c r="O37">
        <v>4.6173398969424101E-2</v>
      </c>
      <c r="P37" s="2">
        <v>0.23440584708901299</v>
      </c>
      <c r="Q37" s="1">
        <v>1</v>
      </c>
      <c r="R37">
        <v>6.3321785349017806E-2</v>
      </c>
      <c r="S37">
        <v>6.3321785349017806E-2</v>
      </c>
      <c r="T37" s="2">
        <v>0</v>
      </c>
    </row>
    <row r="38" spans="1:20" x14ac:dyDescent="0.3">
      <c r="A38" t="s">
        <v>51</v>
      </c>
      <c r="B38">
        <v>12</v>
      </c>
      <c r="C38">
        <v>134</v>
      </c>
      <c r="D38">
        <v>4371</v>
      </c>
      <c r="E38" s="1">
        <v>1</v>
      </c>
      <c r="F38">
        <v>6.1141182673187897E-2</v>
      </c>
      <c r="G38">
        <v>6.1141182673187897E-2</v>
      </c>
      <c r="H38">
        <v>0</v>
      </c>
      <c r="I38" s="1">
        <v>3</v>
      </c>
      <c r="J38">
        <v>0.25039171769950502</v>
      </c>
      <c r="K38">
        <v>0.188830726047817</v>
      </c>
      <c r="L38">
        <v>-0.24585873773016401</v>
      </c>
      <c r="M38" s="1">
        <v>3</v>
      </c>
      <c r="N38">
        <v>4.71090804029521E-2</v>
      </c>
      <c r="O38">
        <v>3.3211135161410499E-2</v>
      </c>
      <c r="P38" s="2">
        <v>-0.29501627122975199</v>
      </c>
      <c r="Q38" s="1">
        <v>3</v>
      </c>
      <c r="R38">
        <v>6.3423823889492303E-2</v>
      </c>
      <c r="S38">
        <v>2.4569276504240602E-2</v>
      </c>
      <c r="T38" s="2">
        <v>-0.612617546569734</v>
      </c>
    </row>
    <row r="39" spans="1:20" x14ac:dyDescent="0.3">
      <c r="A39" t="s">
        <v>52</v>
      </c>
      <c r="B39">
        <v>12</v>
      </c>
      <c r="C39">
        <v>134</v>
      </c>
      <c r="D39">
        <v>4371</v>
      </c>
      <c r="E39" s="1">
        <v>2</v>
      </c>
      <c r="F39">
        <v>6.0615680070861801E-2</v>
      </c>
      <c r="G39">
        <v>6.7819909329705899E-2</v>
      </c>
      <c r="H39">
        <v>0.118850918614162</v>
      </c>
      <c r="I39" s="1">
        <v>3</v>
      </c>
      <c r="J39">
        <v>7.6771439116152002E-2</v>
      </c>
      <c r="K39">
        <v>6.2534065773788602E-2</v>
      </c>
      <c r="L39">
        <v>-0.18545143228099201</v>
      </c>
      <c r="M39" s="1">
        <v>3</v>
      </c>
      <c r="N39">
        <v>8.9795778949104593E-2</v>
      </c>
      <c r="O39">
        <v>7.5752218812966496E-2</v>
      </c>
      <c r="P39" s="2">
        <v>-0.156394435245089</v>
      </c>
      <c r="Q39" s="1">
        <v>3</v>
      </c>
      <c r="R39">
        <v>0.12522190794202401</v>
      </c>
      <c r="S39">
        <v>0.123242248426843</v>
      </c>
      <c r="T39" s="2">
        <v>-1.5809210606316199E-2</v>
      </c>
    </row>
    <row r="40" spans="1:20" x14ac:dyDescent="0.3">
      <c r="A40" t="s">
        <v>53</v>
      </c>
      <c r="B40">
        <v>12</v>
      </c>
      <c r="C40">
        <v>135</v>
      </c>
      <c r="D40">
        <v>4465</v>
      </c>
      <c r="E40" s="1">
        <v>2</v>
      </c>
      <c r="F40">
        <v>0.105280733487791</v>
      </c>
      <c r="G40">
        <v>0.118029079929651</v>
      </c>
      <c r="H40">
        <v>0.121089073181073</v>
      </c>
      <c r="I40" s="1">
        <v>3</v>
      </c>
      <c r="J40">
        <v>0.149842899523249</v>
      </c>
      <c r="K40">
        <v>4.5859514916966403E-2</v>
      </c>
      <c r="L40">
        <v>-0.69394936254653095</v>
      </c>
      <c r="M40" s="1">
        <v>3</v>
      </c>
      <c r="N40">
        <v>0.14555455514150401</v>
      </c>
      <c r="O40">
        <v>8.3227146476201205E-2</v>
      </c>
      <c r="P40" s="2">
        <v>-0.4282065140779</v>
      </c>
      <c r="Q40" s="1">
        <v>3</v>
      </c>
      <c r="R40">
        <v>0.140934980154755</v>
      </c>
      <c r="S40">
        <v>0.168365196803482</v>
      </c>
      <c r="T40" s="2">
        <v>0.19463029418677</v>
      </c>
    </row>
    <row r="41" spans="1:20" x14ac:dyDescent="0.3">
      <c r="A41" t="s">
        <v>54</v>
      </c>
      <c r="B41">
        <v>12</v>
      </c>
      <c r="C41">
        <v>135</v>
      </c>
      <c r="D41">
        <v>4465</v>
      </c>
      <c r="E41" s="1">
        <v>3</v>
      </c>
      <c r="F41">
        <v>3.71054584195121E-2</v>
      </c>
      <c r="G41">
        <v>5.7595237488453098E-2</v>
      </c>
      <c r="H41">
        <v>0.55220390588588597</v>
      </c>
      <c r="I41" s="1">
        <v>3</v>
      </c>
      <c r="J41">
        <v>2.51779559261355E-2</v>
      </c>
      <c r="K41">
        <v>2.1235670241017399E-2</v>
      </c>
      <c r="L41">
        <v>-0.15657687608491999</v>
      </c>
      <c r="M41" s="1">
        <v>2</v>
      </c>
      <c r="N41">
        <v>5.1507603606439897E-2</v>
      </c>
      <c r="O41">
        <v>4.8586002273063297E-2</v>
      </c>
      <c r="P41" s="2">
        <v>-5.67217484179618E-2</v>
      </c>
      <c r="Q41" s="1">
        <v>2</v>
      </c>
      <c r="R41">
        <v>7.3788929641258702E-2</v>
      </c>
      <c r="S41">
        <v>7.4377708108779E-2</v>
      </c>
      <c r="T41" s="2">
        <v>7.9792249377083693E-3</v>
      </c>
    </row>
    <row r="42" spans="1:20" x14ac:dyDescent="0.3">
      <c r="A42" t="s">
        <v>55</v>
      </c>
      <c r="B42">
        <v>12</v>
      </c>
      <c r="C42">
        <v>104</v>
      </c>
      <c r="D42">
        <v>2016</v>
      </c>
      <c r="E42" s="1">
        <v>1</v>
      </c>
      <c r="F42">
        <v>0.110824438622644</v>
      </c>
      <c r="G42">
        <v>0.110824438622644</v>
      </c>
      <c r="H42">
        <v>0</v>
      </c>
      <c r="I42" s="1">
        <v>2</v>
      </c>
      <c r="J42">
        <v>7.8503732957587696E-2</v>
      </c>
      <c r="K42">
        <v>8.0356479363834193E-2</v>
      </c>
      <c r="L42">
        <v>2.3600742747449201E-2</v>
      </c>
      <c r="M42" s="1">
        <v>2</v>
      </c>
      <c r="N42">
        <v>6.9560262669606895E-2</v>
      </c>
      <c r="O42">
        <v>0.120167772524156</v>
      </c>
      <c r="P42" s="2">
        <v>0.72753477218626805</v>
      </c>
      <c r="Q42" s="1">
        <v>2</v>
      </c>
      <c r="R42">
        <v>9.22794073904913E-2</v>
      </c>
      <c r="S42">
        <v>0.107859654556362</v>
      </c>
      <c r="T42" s="2">
        <v>0.16883774621505299</v>
      </c>
    </row>
    <row r="43" spans="1:20" x14ac:dyDescent="0.3">
      <c r="A43" t="s">
        <v>56</v>
      </c>
      <c r="B43">
        <v>12</v>
      </c>
      <c r="C43">
        <v>133</v>
      </c>
      <c r="D43">
        <v>4278</v>
      </c>
      <c r="E43" s="1">
        <v>2</v>
      </c>
      <c r="F43">
        <v>3.2557962575530099E-2</v>
      </c>
      <c r="G43">
        <v>6.67269920065751E-2</v>
      </c>
      <c r="H43">
        <v>1.04948303665431</v>
      </c>
      <c r="I43" s="1">
        <v>2</v>
      </c>
      <c r="J43">
        <v>2.99859287953952E-2</v>
      </c>
      <c r="K43">
        <v>3.2357186441463501E-2</v>
      </c>
      <c r="L43">
        <v>7.9079012767896195E-2</v>
      </c>
      <c r="M43" s="1">
        <v>2</v>
      </c>
      <c r="N43">
        <v>2.9467609779213401E-2</v>
      </c>
      <c r="O43">
        <v>5.7126386360894899E-2</v>
      </c>
      <c r="P43" s="2">
        <v>0.93861622265651201</v>
      </c>
      <c r="Q43" s="1">
        <v>1</v>
      </c>
      <c r="R43">
        <v>7.0844548913511898E-2</v>
      </c>
      <c r="S43">
        <v>7.0844548913511898E-2</v>
      </c>
      <c r="T43" s="2">
        <v>0</v>
      </c>
    </row>
    <row r="44" spans="1:20" x14ac:dyDescent="0.3">
      <c r="A44" t="s">
        <v>57</v>
      </c>
      <c r="B44">
        <v>12</v>
      </c>
      <c r="C44">
        <v>134</v>
      </c>
      <c r="D44">
        <v>4371</v>
      </c>
      <c r="E44" s="1">
        <v>2</v>
      </c>
      <c r="F44">
        <v>1.54011745448941E-2</v>
      </c>
      <c r="G44">
        <v>1.9102950638799E-2</v>
      </c>
      <c r="H44">
        <v>0.24035673922883899</v>
      </c>
      <c r="I44" s="1">
        <v>2</v>
      </c>
      <c r="J44">
        <v>1.5241604694849E-2</v>
      </c>
      <c r="K44">
        <v>1.5795565768671901E-2</v>
      </c>
      <c r="L44">
        <v>3.6345324846940703E-2</v>
      </c>
      <c r="M44" s="1">
        <v>2</v>
      </c>
      <c r="N44">
        <v>3.2620122233956397E-2</v>
      </c>
      <c r="O44">
        <v>2.9781466870531698E-2</v>
      </c>
      <c r="P44" s="2">
        <v>-8.7021604121084797E-2</v>
      </c>
      <c r="Q44" s="1">
        <v>3</v>
      </c>
      <c r="R44">
        <v>7.1230945123584105E-2</v>
      </c>
      <c r="S44">
        <v>7.2709743474054706E-2</v>
      </c>
      <c r="T44" s="2">
        <v>2.0760616722196101E-2</v>
      </c>
    </row>
    <row r="45" spans="1:20" x14ac:dyDescent="0.3">
      <c r="A45" t="s">
        <v>58</v>
      </c>
      <c r="B45">
        <v>12</v>
      </c>
      <c r="C45">
        <v>143</v>
      </c>
      <c r="D45">
        <v>5253</v>
      </c>
      <c r="E45" s="1">
        <v>1</v>
      </c>
      <c r="F45">
        <v>5.9939009761898497E-2</v>
      </c>
      <c r="G45">
        <v>5.9939009761898497E-2</v>
      </c>
      <c r="H45">
        <v>0</v>
      </c>
      <c r="I45" s="1">
        <v>2</v>
      </c>
      <c r="J45">
        <v>2.7856137332038101E-2</v>
      </c>
      <c r="K45">
        <v>6.4402810129334603E-2</v>
      </c>
      <c r="L45">
        <v>1.31197920090892</v>
      </c>
      <c r="M45" s="1">
        <v>2</v>
      </c>
      <c r="N45">
        <v>3.1089941306208901E-2</v>
      </c>
      <c r="O45">
        <v>3.3030276626319903E-2</v>
      </c>
      <c r="P45" s="2">
        <v>6.2410388652727501E-2</v>
      </c>
      <c r="Q45" s="1">
        <v>3</v>
      </c>
      <c r="R45">
        <v>5.3586748048751902E-2</v>
      </c>
      <c r="S45">
        <v>5.2449330378479202E-2</v>
      </c>
      <c r="T45" s="2">
        <v>-2.1225726727024E-2</v>
      </c>
    </row>
    <row r="46" spans="1:20" x14ac:dyDescent="0.3">
      <c r="A46" t="s">
        <v>59</v>
      </c>
      <c r="B46">
        <v>12</v>
      </c>
      <c r="C46">
        <v>134</v>
      </c>
      <c r="D46">
        <v>4371</v>
      </c>
      <c r="E46" s="1">
        <v>3</v>
      </c>
      <c r="F46">
        <v>5.8950781605283803E-2</v>
      </c>
      <c r="G46">
        <v>7.8602414817479205E-2</v>
      </c>
      <c r="H46">
        <v>0.33335661847160403</v>
      </c>
      <c r="I46" s="1">
        <v>3</v>
      </c>
      <c r="J46">
        <v>7.3823653542282194E-2</v>
      </c>
      <c r="K46">
        <v>8.4900381713621395E-2</v>
      </c>
      <c r="L46">
        <v>0.15004307752115001</v>
      </c>
      <c r="M46" s="1">
        <v>3</v>
      </c>
      <c r="N46">
        <v>5.8583521771605897E-2</v>
      </c>
      <c r="O46">
        <v>1.6863551460005399E-2</v>
      </c>
      <c r="P46" s="2">
        <v>-0.71214513996359297</v>
      </c>
      <c r="Q46" s="1">
        <v>2</v>
      </c>
      <c r="R46">
        <v>4.3208693487408197E-2</v>
      </c>
      <c r="S46">
        <v>4.1654408448964099E-2</v>
      </c>
      <c r="T46" s="2">
        <v>-3.5971581480403303E-2</v>
      </c>
    </row>
    <row r="47" spans="1:20" x14ac:dyDescent="0.3">
      <c r="A47" t="s">
        <v>60</v>
      </c>
      <c r="B47">
        <v>12</v>
      </c>
      <c r="C47">
        <v>134</v>
      </c>
      <c r="D47">
        <v>4371</v>
      </c>
      <c r="E47" s="1">
        <v>3</v>
      </c>
      <c r="F47">
        <v>0.250888776241456</v>
      </c>
      <c r="G47">
        <v>0.17315441448166499</v>
      </c>
      <c r="H47">
        <v>-0.30983594772282003</v>
      </c>
      <c r="I47" s="1">
        <v>3</v>
      </c>
      <c r="J47">
        <v>9.8807028170468006E-2</v>
      </c>
      <c r="K47">
        <v>9.7234796961639294E-2</v>
      </c>
      <c r="L47">
        <v>-1.59121394291519E-2</v>
      </c>
      <c r="M47" s="1">
        <v>3</v>
      </c>
      <c r="N47">
        <v>0.10372245875441</v>
      </c>
      <c r="O47">
        <v>0.10495691589644</v>
      </c>
      <c r="P47" s="2">
        <v>1.1901541448733E-2</v>
      </c>
      <c r="Q47" s="1">
        <v>3</v>
      </c>
      <c r="R47">
        <v>0.10904957851616701</v>
      </c>
      <c r="S47">
        <v>9.7855215867649295E-2</v>
      </c>
      <c r="T47" s="2">
        <v>-0.102653882764513</v>
      </c>
    </row>
    <row r="48" spans="1:20" x14ac:dyDescent="0.3">
      <c r="A48" t="s">
        <v>61</v>
      </c>
      <c r="B48">
        <v>12</v>
      </c>
      <c r="C48">
        <v>134</v>
      </c>
      <c r="D48">
        <v>4371</v>
      </c>
      <c r="E48" s="1">
        <v>3</v>
      </c>
      <c r="F48">
        <v>0.33644031228430499</v>
      </c>
      <c r="G48">
        <v>0.35124067281525301</v>
      </c>
      <c r="H48">
        <v>4.3991043851012102E-2</v>
      </c>
      <c r="I48" s="1">
        <v>3</v>
      </c>
      <c r="J48">
        <v>0.31467306105557202</v>
      </c>
      <c r="K48">
        <v>0.40983023063797702</v>
      </c>
      <c r="L48">
        <v>0.30240011414767898</v>
      </c>
      <c r="M48" s="1">
        <v>3</v>
      </c>
      <c r="N48">
        <v>0.324576116780674</v>
      </c>
      <c r="O48">
        <v>0.28641046929890102</v>
      </c>
      <c r="P48" s="2">
        <v>-0.117586123896981</v>
      </c>
      <c r="Q48" s="1">
        <v>2</v>
      </c>
      <c r="R48">
        <v>0.34913427899079202</v>
      </c>
      <c r="S48">
        <v>0.37419307409264602</v>
      </c>
      <c r="T48" s="2">
        <v>7.1774089826665499E-2</v>
      </c>
    </row>
    <row r="49" spans="1:20" x14ac:dyDescent="0.3">
      <c r="A49" t="s">
        <v>62</v>
      </c>
      <c r="B49">
        <v>12</v>
      </c>
      <c r="C49">
        <v>144</v>
      </c>
      <c r="D49">
        <v>5356</v>
      </c>
      <c r="E49" s="1">
        <v>3</v>
      </c>
      <c r="F49">
        <v>8.9143614000139301E-2</v>
      </c>
      <c r="G49">
        <v>9.1604013975246604E-2</v>
      </c>
      <c r="H49">
        <v>2.7600406408286999E-2</v>
      </c>
      <c r="I49" s="1">
        <v>3</v>
      </c>
      <c r="J49">
        <v>9.4734485650004294E-2</v>
      </c>
      <c r="K49">
        <v>0.130307115454835</v>
      </c>
      <c r="L49">
        <v>0.37549821018983498</v>
      </c>
      <c r="M49" s="1">
        <v>3</v>
      </c>
      <c r="N49">
        <v>8.9327439715184004E-2</v>
      </c>
      <c r="O49">
        <v>8.9428891161403706E-2</v>
      </c>
      <c r="P49" s="2">
        <v>1.1357254449824901E-3</v>
      </c>
      <c r="Q49" s="1">
        <v>3</v>
      </c>
      <c r="R49">
        <v>7.0503557488901705E-2</v>
      </c>
      <c r="S49">
        <v>6.98860967078309E-2</v>
      </c>
      <c r="T49" s="2">
        <v>-8.7578670220719301E-3</v>
      </c>
    </row>
    <row r="50" spans="1:20" x14ac:dyDescent="0.3">
      <c r="A50" t="s">
        <v>63</v>
      </c>
      <c r="B50">
        <v>12</v>
      </c>
      <c r="C50">
        <v>144</v>
      </c>
      <c r="D50">
        <v>5356</v>
      </c>
      <c r="E50" s="1">
        <v>3</v>
      </c>
      <c r="F50">
        <v>9.41217925513603E-2</v>
      </c>
      <c r="G50">
        <v>8.9863945243907006E-2</v>
      </c>
      <c r="H50">
        <v>-4.5237635111229899E-2</v>
      </c>
      <c r="I50" s="1">
        <v>2</v>
      </c>
      <c r="J50">
        <v>0.10743043017020799</v>
      </c>
      <c r="K50">
        <v>8.1164025334700102E-2</v>
      </c>
      <c r="L50">
        <v>-0.24449687852773899</v>
      </c>
      <c r="M50" s="1">
        <v>3</v>
      </c>
      <c r="N50">
        <v>0.10600926084781</v>
      </c>
      <c r="O50">
        <v>8.4007018737823902E-2</v>
      </c>
      <c r="P50" s="2">
        <v>-0.20755018886107701</v>
      </c>
      <c r="Q50" s="1">
        <v>3</v>
      </c>
      <c r="R50">
        <v>8.9358015705435195E-2</v>
      </c>
      <c r="S50">
        <v>0.10347239466543801</v>
      </c>
      <c r="T50" s="2">
        <v>0.15795313770764999</v>
      </c>
    </row>
    <row r="51" spans="1:20" x14ac:dyDescent="0.3">
      <c r="A51" t="s">
        <v>64</v>
      </c>
      <c r="B51">
        <v>12</v>
      </c>
      <c r="C51">
        <v>144</v>
      </c>
      <c r="D51">
        <v>5356</v>
      </c>
      <c r="E51" s="1">
        <v>2</v>
      </c>
      <c r="F51">
        <v>0.255197115132833</v>
      </c>
      <c r="G51">
        <v>0.270351519117215</v>
      </c>
      <c r="H51">
        <v>5.9383132040868002E-2</v>
      </c>
      <c r="I51" s="1">
        <v>3</v>
      </c>
      <c r="J51">
        <v>0.22915142307699901</v>
      </c>
      <c r="K51">
        <v>0.24248933926772301</v>
      </c>
      <c r="L51">
        <v>5.8205687800776298E-2</v>
      </c>
      <c r="M51" s="1">
        <v>2</v>
      </c>
      <c r="N51">
        <v>0.231929361740353</v>
      </c>
      <c r="O51">
        <v>0.243562764402629</v>
      </c>
      <c r="P51" s="2">
        <v>5.0159249242874702E-2</v>
      </c>
      <c r="Q51" s="1">
        <v>3</v>
      </c>
      <c r="R51">
        <v>0.26807303863787901</v>
      </c>
      <c r="S51">
        <v>0.274680159123946</v>
      </c>
      <c r="T51" s="2">
        <v>2.46467176245663E-2</v>
      </c>
    </row>
    <row r="52" spans="1:20" x14ac:dyDescent="0.3">
      <c r="A52" t="s">
        <v>65</v>
      </c>
      <c r="B52">
        <v>12</v>
      </c>
      <c r="C52">
        <v>132</v>
      </c>
      <c r="D52">
        <v>4186</v>
      </c>
      <c r="E52" s="1">
        <v>3</v>
      </c>
      <c r="F52">
        <v>8.1368953390957899E-2</v>
      </c>
      <c r="G52">
        <v>0.119677273462969</v>
      </c>
      <c r="H52">
        <v>0.47079774871811098</v>
      </c>
      <c r="I52" s="1">
        <v>3</v>
      </c>
      <c r="J52">
        <v>5.91558153101693E-2</v>
      </c>
      <c r="K52">
        <v>5.4468513254757399E-2</v>
      </c>
      <c r="L52">
        <v>-7.9236538805782603E-2</v>
      </c>
      <c r="M52" s="1">
        <v>3</v>
      </c>
      <c r="N52">
        <v>7.2474880946372694E-2</v>
      </c>
      <c r="O52">
        <v>7.1167412581100403E-2</v>
      </c>
      <c r="P52" s="2">
        <v>-1.8040296833874599E-2</v>
      </c>
      <c r="Q52" s="1">
        <v>2</v>
      </c>
      <c r="R52">
        <v>0.12262561898798401</v>
      </c>
      <c r="S52">
        <v>0.12140496409319</v>
      </c>
      <c r="T52" s="2">
        <v>-9.9543219831807802E-3</v>
      </c>
    </row>
    <row r="53" spans="1:20" x14ac:dyDescent="0.3">
      <c r="A53" t="s">
        <v>66</v>
      </c>
      <c r="B53">
        <v>12</v>
      </c>
      <c r="C53">
        <v>108</v>
      </c>
      <c r="D53">
        <v>2278</v>
      </c>
      <c r="E53" s="1">
        <v>2</v>
      </c>
      <c r="F53">
        <v>4.9201959354256898E-2</v>
      </c>
      <c r="G53">
        <v>4.3263098628202802E-2</v>
      </c>
      <c r="H53">
        <v>-0.12070374440363101</v>
      </c>
      <c r="I53" s="1">
        <v>2</v>
      </c>
      <c r="J53">
        <v>5.8791282129130297E-2</v>
      </c>
      <c r="K53">
        <v>3.5587327398551E-2</v>
      </c>
      <c r="L53">
        <v>-0.39468359746966702</v>
      </c>
      <c r="M53" s="1">
        <v>2</v>
      </c>
      <c r="N53">
        <v>4.1692731018111301E-2</v>
      </c>
      <c r="O53">
        <v>4.4948638230637397E-2</v>
      </c>
      <c r="P53" s="2">
        <v>7.8092922507566803E-2</v>
      </c>
      <c r="Q53" s="1">
        <v>2</v>
      </c>
      <c r="R53">
        <v>4.1412569870740899E-2</v>
      </c>
      <c r="S53">
        <v>4.1932195293614097E-2</v>
      </c>
      <c r="T53" s="2">
        <v>1.2547529035148801E-2</v>
      </c>
    </row>
    <row r="54" spans="1:20" x14ac:dyDescent="0.3">
      <c r="A54" t="s">
        <v>67</v>
      </c>
      <c r="B54">
        <v>12</v>
      </c>
      <c r="C54">
        <v>134</v>
      </c>
      <c r="D54">
        <v>4371</v>
      </c>
      <c r="E54" s="1">
        <v>3</v>
      </c>
      <c r="F54">
        <v>0.22095759948732599</v>
      </c>
      <c r="G54">
        <v>0.12607300347554001</v>
      </c>
      <c r="H54">
        <v>-0.42942445171354299</v>
      </c>
      <c r="I54" s="1">
        <v>3</v>
      </c>
      <c r="J54">
        <v>0.16537776836930301</v>
      </c>
      <c r="K54">
        <v>0.14569081288663399</v>
      </c>
      <c r="L54">
        <v>-0.11904233366304701</v>
      </c>
      <c r="M54" s="1">
        <v>3</v>
      </c>
      <c r="N54">
        <v>0.180637246894752</v>
      </c>
      <c r="O54">
        <v>0.13507396272272501</v>
      </c>
      <c r="P54" s="2">
        <v>-0.25223637403294502</v>
      </c>
      <c r="Q54" s="1">
        <v>3</v>
      </c>
      <c r="R54">
        <v>0.185138840881612</v>
      </c>
      <c r="S54">
        <v>0.17177589579869201</v>
      </c>
      <c r="T54" s="2">
        <v>-7.2177966650796899E-2</v>
      </c>
    </row>
    <row r="55" spans="1:20" x14ac:dyDescent="0.3">
      <c r="A55" t="s">
        <v>68</v>
      </c>
      <c r="B55">
        <v>12</v>
      </c>
      <c r="C55">
        <v>134</v>
      </c>
      <c r="D55">
        <v>4371</v>
      </c>
      <c r="E55" s="1">
        <v>3</v>
      </c>
      <c r="F55">
        <v>0.293246938649384</v>
      </c>
      <c r="G55">
        <v>0.29734342076692399</v>
      </c>
      <c r="H55">
        <v>1.3969394314591E-2</v>
      </c>
      <c r="I55" s="1">
        <v>3</v>
      </c>
      <c r="J55">
        <v>9.8788598213413598E-2</v>
      </c>
      <c r="K55">
        <v>9.7758002354330603E-2</v>
      </c>
      <c r="L55">
        <v>-1.04323360966877E-2</v>
      </c>
      <c r="M55" s="1">
        <v>3</v>
      </c>
      <c r="N55">
        <v>0.121442354452301</v>
      </c>
      <c r="O55">
        <v>0.12568098092951599</v>
      </c>
      <c r="P55" s="2">
        <v>3.4902374022072698E-2</v>
      </c>
      <c r="Q55" s="1">
        <v>3</v>
      </c>
      <c r="R55">
        <v>0.16775894784176501</v>
      </c>
      <c r="S55">
        <v>0.18702109295006</v>
      </c>
      <c r="T55" s="2">
        <v>0.114820373852502</v>
      </c>
    </row>
    <row r="56" spans="1:20" x14ac:dyDescent="0.3">
      <c r="A56" t="s">
        <v>69</v>
      </c>
      <c r="B56">
        <v>12</v>
      </c>
      <c r="C56">
        <v>134</v>
      </c>
      <c r="D56">
        <v>4371</v>
      </c>
      <c r="E56" s="1">
        <v>3</v>
      </c>
      <c r="F56">
        <v>0.13176092032359699</v>
      </c>
      <c r="G56">
        <v>0.19640786998747101</v>
      </c>
      <c r="H56">
        <v>0.49063826744002798</v>
      </c>
      <c r="I56" s="1">
        <v>2</v>
      </c>
      <c r="J56">
        <v>8.5930028429650807E-2</v>
      </c>
      <c r="K56">
        <v>5.8503875387216901E-2</v>
      </c>
      <c r="L56">
        <v>-0.31916843906187098</v>
      </c>
      <c r="M56" s="1">
        <v>3</v>
      </c>
      <c r="N56">
        <v>0.108550948878516</v>
      </c>
      <c r="O56">
        <v>0.120515398870716</v>
      </c>
      <c r="P56" s="2">
        <v>0.11021967210613499</v>
      </c>
      <c r="Q56" s="1">
        <v>3</v>
      </c>
      <c r="R56">
        <v>0.13456957649661999</v>
      </c>
      <c r="S56">
        <v>0.12648509122684301</v>
      </c>
      <c r="T56" s="2">
        <v>-6.0076619695536099E-2</v>
      </c>
    </row>
    <row r="57" spans="1:20" x14ac:dyDescent="0.3">
      <c r="A57" t="s">
        <v>70</v>
      </c>
      <c r="B57">
        <v>12</v>
      </c>
      <c r="C57">
        <v>126</v>
      </c>
      <c r="D57">
        <v>3655</v>
      </c>
      <c r="E57" s="1">
        <v>2</v>
      </c>
      <c r="F57">
        <v>0.19895435899823499</v>
      </c>
      <c r="G57">
        <v>0.15619202963024501</v>
      </c>
      <c r="H57">
        <v>-0.21493537303381999</v>
      </c>
      <c r="I57" s="1">
        <v>2</v>
      </c>
      <c r="J57">
        <v>0.122408603319955</v>
      </c>
      <c r="K57">
        <v>0.11947802606459</v>
      </c>
      <c r="L57">
        <v>-2.3940941860966E-2</v>
      </c>
      <c r="M57" s="1">
        <v>2</v>
      </c>
      <c r="N57">
        <v>0.12555699966908199</v>
      </c>
      <c r="O57">
        <v>0.12182053583244799</v>
      </c>
      <c r="P57" s="2">
        <v>-2.9759104203516299E-2</v>
      </c>
      <c r="Q57" s="1">
        <v>2</v>
      </c>
      <c r="R57">
        <v>0.14506941908151599</v>
      </c>
      <c r="S57">
        <v>0.141186609215153</v>
      </c>
      <c r="T57" s="2">
        <v>-2.6765185184764902E-2</v>
      </c>
    </row>
    <row r="58" spans="1:20" x14ac:dyDescent="0.3">
      <c r="A58" t="s">
        <v>71</v>
      </c>
      <c r="B58">
        <v>12</v>
      </c>
      <c r="C58">
        <v>126</v>
      </c>
      <c r="D58">
        <v>3655</v>
      </c>
      <c r="E58" s="1">
        <v>2</v>
      </c>
      <c r="F58">
        <v>0.16391567610653199</v>
      </c>
      <c r="G58">
        <v>9.8419971514746504E-2</v>
      </c>
      <c r="H58">
        <v>-0.39956949907108602</v>
      </c>
      <c r="I58" s="1">
        <v>1</v>
      </c>
      <c r="J58">
        <v>8.8243017792479797E-2</v>
      </c>
      <c r="K58">
        <v>8.8243017792479797E-2</v>
      </c>
      <c r="L58">
        <v>0</v>
      </c>
      <c r="M58" s="1">
        <v>1</v>
      </c>
      <c r="N58">
        <v>7.5913489891626496E-2</v>
      </c>
      <c r="O58">
        <v>7.5913489891626496E-2</v>
      </c>
      <c r="P58" s="2">
        <v>0</v>
      </c>
      <c r="Q58" s="1">
        <v>1</v>
      </c>
      <c r="R58">
        <v>6.8032962357341395E-2</v>
      </c>
      <c r="S58">
        <v>6.8032962357341395E-2</v>
      </c>
      <c r="T58" s="2">
        <v>0</v>
      </c>
    </row>
    <row r="59" spans="1:20" x14ac:dyDescent="0.3">
      <c r="A59" t="s">
        <v>72</v>
      </c>
      <c r="B59">
        <v>12</v>
      </c>
      <c r="C59">
        <v>126</v>
      </c>
      <c r="D59">
        <v>3655</v>
      </c>
      <c r="E59" s="1">
        <v>3</v>
      </c>
      <c r="F59">
        <v>8.6804146479806596E-2</v>
      </c>
      <c r="G59">
        <v>0.114712604085815</v>
      </c>
      <c r="H59">
        <v>0.32151065055977901</v>
      </c>
      <c r="I59" s="1">
        <v>3</v>
      </c>
      <c r="J59">
        <v>0.13541584116614699</v>
      </c>
      <c r="K59">
        <v>9.0778803458263793E-2</v>
      </c>
      <c r="L59">
        <v>-0.32962936480316601</v>
      </c>
      <c r="M59" s="1">
        <v>3</v>
      </c>
      <c r="N59">
        <v>0.11371280760694</v>
      </c>
      <c r="O59">
        <v>9.4603772891344001E-2</v>
      </c>
      <c r="P59" s="2">
        <v>-0.16804645947753799</v>
      </c>
      <c r="Q59" s="1">
        <v>3</v>
      </c>
      <c r="R59">
        <v>0.13592409955363</v>
      </c>
      <c r="S59">
        <v>0.14762747839340801</v>
      </c>
      <c r="T59" s="2">
        <v>8.6102309143200106E-2</v>
      </c>
    </row>
    <row r="60" spans="1:20" x14ac:dyDescent="0.3">
      <c r="A60" t="s">
        <v>73</v>
      </c>
      <c r="B60">
        <v>12</v>
      </c>
      <c r="C60">
        <v>126</v>
      </c>
      <c r="D60">
        <v>3655</v>
      </c>
      <c r="E60" s="1">
        <v>3</v>
      </c>
      <c r="F60">
        <v>0.21282963894565399</v>
      </c>
      <c r="G60">
        <v>5.0379951471666198E-2</v>
      </c>
      <c r="H60">
        <v>-0.76328507758014497</v>
      </c>
      <c r="I60" s="1">
        <v>1</v>
      </c>
      <c r="J60">
        <v>2.942307959963E-2</v>
      </c>
      <c r="K60">
        <v>2.942307959963E-2</v>
      </c>
      <c r="L60">
        <v>0</v>
      </c>
      <c r="M60" s="1">
        <v>1</v>
      </c>
      <c r="N60">
        <v>2.42510512565745E-2</v>
      </c>
      <c r="O60">
        <v>2.42510512565745E-2</v>
      </c>
      <c r="P60" s="2">
        <v>0</v>
      </c>
      <c r="Q60" s="1">
        <v>1</v>
      </c>
      <c r="R60">
        <v>4.4268851825128901E-2</v>
      </c>
      <c r="S60">
        <v>4.4268851825128901E-2</v>
      </c>
      <c r="T60" s="2">
        <v>0</v>
      </c>
    </row>
    <row r="61" spans="1:20" x14ac:dyDescent="0.3">
      <c r="A61" t="s">
        <v>74</v>
      </c>
      <c r="B61">
        <v>12</v>
      </c>
      <c r="C61">
        <v>126</v>
      </c>
      <c r="D61">
        <v>3655</v>
      </c>
      <c r="E61" s="1">
        <v>2</v>
      </c>
      <c r="F61">
        <v>9.2912459788391896E-2</v>
      </c>
      <c r="G61">
        <v>4.8901542435072998E-2</v>
      </c>
      <c r="H61">
        <v>-0.47368154339637097</v>
      </c>
      <c r="I61" s="1">
        <v>2</v>
      </c>
      <c r="J61">
        <v>4.9491499722273499E-2</v>
      </c>
      <c r="K61">
        <v>5.4292690360484099E-2</v>
      </c>
      <c r="L61">
        <v>9.7010409164259306E-2</v>
      </c>
      <c r="M61" s="1">
        <v>1</v>
      </c>
      <c r="N61">
        <v>4.9680660077020301E-2</v>
      </c>
      <c r="O61">
        <v>4.9680660077020301E-2</v>
      </c>
      <c r="P61" s="2">
        <v>0</v>
      </c>
      <c r="Q61" s="1">
        <v>1</v>
      </c>
      <c r="R61">
        <v>5.5834655147909397E-2</v>
      </c>
      <c r="S61">
        <v>5.5834655147909397E-2</v>
      </c>
      <c r="T61" s="2">
        <v>0</v>
      </c>
    </row>
    <row r="62" spans="1:20" x14ac:dyDescent="0.3">
      <c r="A62" t="s">
        <v>75</v>
      </c>
      <c r="B62">
        <v>12</v>
      </c>
      <c r="C62">
        <v>120</v>
      </c>
      <c r="D62">
        <v>3160</v>
      </c>
      <c r="E62" s="1">
        <v>2</v>
      </c>
      <c r="F62">
        <v>0.161612973343495</v>
      </c>
      <c r="G62">
        <v>0.15224505351113499</v>
      </c>
      <c r="H62">
        <v>-5.7965147466529601E-2</v>
      </c>
      <c r="I62" s="1">
        <v>2</v>
      </c>
      <c r="J62">
        <v>0.133859272527108</v>
      </c>
      <c r="K62">
        <v>0.14190060971144799</v>
      </c>
      <c r="L62">
        <v>6.0073068025315202E-2</v>
      </c>
      <c r="M62" s="1">
        <v>2</v>
      </c>
      <c r="N62">
        <v>0.13166601151985599</v>
      </c>
      <c r="O62">
        <v>0.116594868178639</v>
      </c>
      <c r="P62" s="2">
        <v>-0.114464949361242</v>
      </c>
      <c r="Q62" s="1">
        <v>2</v>
      </c>
      <c r="R62">
        <v>0.16499734127909199</v>
      </c>
      <c r="S62">
        <v>0.14287952014750799</v>
      </c>
      <c r="T62" s="2">
        <v>-0.13404956079972</v>
      </c>
    </row>
    <row r="63" spans="1:20" x14ac:dyDescent="0.3">
      <c r="A63" t="s">
        <v>76</v>
      </c>
      <c r="B63">
        <v>12</v>
      </c>
      <c r="C63">
        <v>120</v>
      </c>
      <c r="D63">
        <v>3160</v>
      </c>
      <c r="E63" s="1">
        <v>2</v>
      </c>
      <c r="F63">
        <v>0.19568586333375801</v>
      </c>
      <c r="G63">
        <v>0.190422390536993</v>
      </c>
      <c r="H63">
        <v>-2.6897562793218099E-2</v>
      </c>
      <c r="I63" s="1">
        <v>1</v>
      </c>
      <c r="J63">
        <v>0.18015113972694399</v>
      </c>
      <c r="K63">
        <v>0.18015113972694399</v>
      </c>
      <c r="L63">
        <v>0</v>
      </c>
      <c r="M63" s="1">
        <v>1</v>
      </c>
      <c r="N63">
        <v>0.17745921265064701</v>
      </c>
      <c r="O63">
        <v>0.17745921265064701</v>
      </c>
      <c r="P63" s="2">
        <v>0</v>
      </c>
      <c r="Q63" s="1">
        <v>1</v>
      </c>
      <c r="R63">
        <v>0.16609708243943599</v>
      </c>
      <c r="S63">
        <v>0.16609708243943599</v>
      </c>
      <c r="T63" s="2">
        <v>0</v>
      </c>
    </row>
    <row r="65" spans="1:20" x14ac:dyDescent="0.3">
      <c r="A65" t="s">
        <v>78</v>
      </c>
      <c r="H65">
        <f>AVERAGE(H37:H63)</f>
        <v>4.9011408614199566E-2</v>
      </c>
      <c r="L65">
        <f>AVERAGE(L37:L63)</f>
        <v>3.2000463578012055E-2</v>
      </c>
      <c r="P65">
        <f>AVERAGE(P37:P63)</f>
        <v>-1.4585573865395161E-2</v>
      </c>
      <c r="T65">
        <f>AVERAGE(T37:T63)</f>
        <v>-8.8891640826889232E-3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Vittorio Maniezzo</cp:lastModifiedBy>
  <dcterms:created xsi:type="dcterms:W3CDTF">2026-08-18T12:50:26Z</dcterms:created>
  <dcterms:modified xsi:type="dcterms:W3CDTF">2026-08-30T19:20:01Z</dcterms:modified>
</cp:coreProperties>
</file>