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segmentation\forecast\data\"/>
    </mc:Choice>
  </mc:AlternateContent>
  <xr:revisionPtr revIDLastSave="0" documentId="13_ncr:1_{6841F50A-8A77-4975-BAC3-51E8FA41CD45}" xr6:coauthVersionLast="47" xr6:coauthVersionMax="47" xr10:uidLastSave="{00000000-0000-0000-0000-000000000000}"/>
  <bookViews>
    <workbookView xWindow="3165" yWindow="735" windowWidth="24360" windowHeight="14385" xr2:uid="{00000000-000D-0000-FFFF-FFFF00000000}"/>
  </bookViews>
  <sheets>
    <sheet name="results_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7" i="1" l="1"/>
  <c r="Q67" i="1"/>
  <c r="M67" i="1"/>
  <c r="I67" i="1"/>
  <c r="U33" i="1"/>
  <c r="Q33" i="1"/>
  <c r="M33" i="1"/>
  <c r="I33" i="1"/>
</calcChain>
</file>

<file path=xl/sharedStrings.xml><?xml version="1.0" encoding="utf-8"?>
<sst xmlns="http://schemas.openxmlformats.org/spreadsheetml/2006/main" count="143" uniqueCount="94">
  <si>
    <t>name</t>
  </si>
  <si>
    <t>categ</t>
  </si>
  <si>
    <t>npred</t>
  </si>
  <si>
    <t>npoints</t>
  </si>
  <si>
    <t>nsegm</t>
  </si>
  <si>
    <t>nIntAR</t>
  </si>
  <si>
    <t>RMSEBaseAR</t>
  </si>
  <si>
    <t>RMSEForeAR</t>
  </si>
  <si>
    <t>deltaAR</t>
  </si>
  <si>
    <t>nIntHW</t>
  </si>
  <si>
    <t>RMSEBaseHW</t>
  </si>
  <si>
    <t>RMSEForeHW</t>
  </si>
  <si>
    <t>deltaHW</t>
  </si>
  <si>
    <t>nIntTh</t>
  </si>
  <si>
    <t>RMSEBaseTh</t>
  </si>
  <si>
    <t>RMSEForeTH</t>
  </si>
  <si>
    <t>deltaTh</t>
  </si>
  <si>
    <t>nIntRF</t>
  </si>
  <si>
    <t>RMSEBaseRF</t>
  </si>
  <si>
    <t>RMSEForeRF</t>
  </si>
  <si>
    <t>deltaRF</t>
  </si>
  <si>
    <t>N2700</t>
  </si>
  <si>
    <t xml:space="preserve">DEMOGRAPHIC </t>
  </si>
  <si>
    <t>N2737</t>
  </si>
  <si>
    <t>N2743</t>
  </si>
  <si>
    <t>N2688</t>
  </si>
  <si>
    <t>N2721</t>
  </si>
  <si>
    <t>N2841</t>
  </si>
  <si>
    <t xml:space="preserve">FINANCE     </t>
  </si>
  <si>
    <t>N2554</t>
  </si>
  <si>
    <t>N2615</t>
  </si>
  <si>
    <t>N2522</t>
  </si>
  <si>
    <t>N2544</t>
  </si>
  <si>
    <t>N2208</t>
  </si>
  <si>
    <t xml:space="preserve">INDUSTRY    </t>
  </si>
  <si>
    <t>N2186</t>
  </si>
  <si>
    <t>N1979</t>
  </si>
  <si>
    <t>N2130</t>
  </si>
  <si>
    <t>N2144</t>
  </si>
  <si>
    <t>N2465</t>
  </si>
  <si>
    <t xml:space="preserve">MACRO       </t>
  </si>
  <si>
    <t>N2511</t>
  </si>
  <si>
    <t>N2257</t>
  </si>
  <si>
    <t>N2355</t>
  </si>
  <si>
    <t>N2373</t>
  </si>
  <si>
    <t>N1861</t>
  </si>
  <si>
    <t xml:space="preserve">MICRO       </t>
  </si>
  <si>
    <t>N1747</t>
  </si>
  <si>
    <t>N1790</t>
  </si>
  <si>
    <t>N1789</t>
  </si>
  <si>
    <t>N1751</t>
  </si>
  <si>
    <t>N2780</t>
  </si>
  <si>
    <t xml:space="preserve">OTHER       </t>
  </si>
  <si>
    <t>N2783</t>
  </si>
  <si>
    <t>N2778</t>
  </si>
  <si>
    <t>N2785</t>
  </si>
  <si>
    <t>N2799</t>
  </si>
  <si>
    <t>Q12635</t>
  </si>
  <si>
    <t>Q12163</t>
  </si>
  <si>
    <t>Q12036</t>
  </si>
  <si>
    <t>Q12726</t>
  </si>
  <si>
    <t>Q11722</t>
  </si>
  <si>
    <t>Q22725</t>
  </si>
  <si>
    <t>Q22366</t>
  </si>
  <si>
    <t>Q19569</t>
  </si>
  <si>
    <t>Q20713</t>
  </si>
  <si>
    <t>Q23085</t>
  </si>
  <si>
    <t>Q14875</t>
  </si>
  <si>
    <t>Q13248</t>
  </si>
  <si>
    <t>Q14559</t>
  </si>
  <si>
    <t>Q14720</t>
  </si>
  <si>
    <t>Q15440</t>
  </si>
  <si>
    <t>Q1757</t>
  </si>
  <si>
    <t>Q206</t>
  </si>
  <si>
    <t>Q4505</t>
  </si>
  <si>
    <t>Q2829</t>
  </si>
  <si>
    <t>Q3365</t>
  </si>
  <si>
    <t>Q10783</t>
  </si>
  <si>
    <t>Q8960</t>
  </si>
  <si>
    <t>Q11058</t>
  </si>
  <si>
    <t>Q8881</t>
  </si>
  <si>
    <t>Q9760</t>
  </si>
  <si>
    <t>Q23500</t>
  </si>
  <si>
    <t>Q23460</t>
  </si>
  <si>
    <t>Q23631</t>
  </si>
  <si>
    <t>Q23439</t>
  </si>
  <si>
    <t>Q23680</t>
  </si>
  <si>
    <t>avg</t>
  </si>
  <si>
    <t>Demographic</t>
  </si>
  <si>
    <t>Finance</t>
  </si>
  <si>
    <t>Industry</t>
  </si>
  <si>
    <t>Macro</t>
  </si>
  <si>
    <t>Micro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</si>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</sst>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"/>
  <sheetViews>
    <sheetView tabSelected="1" topLeftCell="A29" workbookViewId="0">
      <selection activeCell="J87" sqref="J87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18</v>
      </c>
      <c r="D2">
        <v>135</v>
      </c>
      <c r="E2">
        <v>2926</v>
      </c>
      <c r="F2">
        <v>2</v>
      </c>
      <c r="G2">
        <v>0.30815589262788301</v>
      </c>
      <c r="H2">
        <v>0.170816835198289</v>
      </c>
      <c r="I2">
        <v>-0.44568045172979698</v>
      </c>
      <c r="J2">
        <v>2</v>
      </c>
      <c r="K2">
        <v>0.1965381409169</v>
      </c>
      <c r="L2">
        <v>0.123267953561636</v>
      </c>
      <c r="M2">
        <v>-0.37280390978279998</v>
      </c>
      <c r="N2">
        <v>2</v>
      </c>
      <c r="O2">
        <v>0.13100522053007099</v>
      </c>
      <c r="P2">
        <v>8.3598754957750598E-2</v>
      </c>
      <c r="Q2">
        <v>-0.36186699568540198</v>
      </c>
      <c r="R2">
        <v>2</v>
      </c>
      <c r="S2">
        <v>6.53789228303331E-2</v>
      </c>
      <c r="T2">
        <v>6.2546155976176299E-2</v>
      </c>
      <c r="U2">
        <v>-4.33284418207407E-2</v>
      </c>
    </row>
    <row r="3" spans="1:21" x14ac:dyDescent="0.25">
      <c r="A3" t="s">
        <v>23</v>
      </c>
      <c r="B3" t="s">
        <v>22</v>
      </c>
      <c r="C3">
        <v>18</v>
      </c>
      <c r="D3">
        <v>134</v>
      </c>
      <c r="E3">
        <v>2850</v>
      </c>
      <c r="F3">
        <v>2</v>
      </c>
      <c r="G3">
        <v>0.118481345930527</v>
      </c>
      <c r="H3">
        <v>0.112620796343672</v>
      </c>
      <c r="I3">
        <v>-4.9463901180625602E-2</v>
      </c>
      <c r="J3">
        <v>2</v>
      </c>
      <c r="K3">
        <v>8.3867028038756106E-2</v>
      </c>
      <c r="L3">
        <v>0.27079153703544201</v>
      </c>
      <c r="M3">
        <v>2.2288199947934899</v>
      </c>
      <c r="N3">
        <v>1</v>
      </c>
      <c r="O3">
        <v>0.14437394328285899</v>
      </c>
      <c r="P3">
        <v>0.14437394328285899</v>
      </c>
      <c r="Q3">
        <v>0</v>
      </c>
      <c r="R3">
        <v>2</v>
      </c>
      <c r="S3">
        <v>0.113123406658921</v>
      </c>
      <c r="T3">
        <v>0.17947562649945301</v>
      </c>
      <c r="U3">
        <v>0.58654722130664705</v>
      </c>
    </row>
    <row r="4" spans="1:21" x14ac:dyDescent="0.25">
      <c r="A4" t="s">
        <v>24</v>
      </c>
      <c r="B4" t="s">
        <v>22</v>
      </c>
      <c r="C4">
        <v>18</v>
      </c>
      <c r="D4">
        <v>134</v>
      </c>
      <c r="E4">
        <v>2850</v>
      </c>
      <c r="F4">
        <v>2</v>
      </c>
      <c r="G4">
        <v>0.21794555032086299</v>
      </c>
      <c r="H4">
        <v>0.22258126153011601</v>
      </c>
      <c r="I4">
        <v>2.1270042918647099E-2</v>
      </c>
      <c r="J4">
        <v>2</v>
      </c>
      <c r="K4">
        <v>0.14284375666903401</v>
      </c>
      <c r="L4">
        <v>0.127811484340938</v>
      </c>
      <c r="M4">
        <v>-0.105235767237102</v>
      </c>
      <c r="N4">
        <v>2</v>
      </c>
      <c r="O4">
        <v>0.177926481658577</v>
      </c>
      <c r="P4">
        <v>0.202924668681527</v>
      </c>
      <c r="Q4">
        <v>0.14049728174200701</v>
      </c>
      <c r="R4">
        <v>2</v>
      </c>
      <c r="S4">
        <v>0.21860822753407599</v>
      </c>
      <c r="T4">
        <v>0.21899599955607599</v>
      </c>
      <c r="U4">
        <v>1.77382171921669E-3</v>
      </c>
    </row>
    <row r="5" spans="1:21" x14ac:dyDescent="0.25">
      <c r="A5" t="s">
        <v>25</v>
      </c>
      <c r="B5" t="s">
        <v>22</v>
      </c>
      <c r="C5">
        <v>18</v>
      </c>
      <c r="D5">
        <v>135</v>
      </c>
      <c r="E5">
        <v>2926</v>
      </c>
      <c r="F5">
        <v>2</v>
      </c>
      <c r="G5">
        <v>8.1295124974478203E-2</v>
      </c>
      <c r="H5">
        <v>6.8862128968540506E-2</v>
      </c>
      <c r="I5">
        <v>-0.15293655074447399</v>
      </c>
      <c r="J5">
        <v>2</v>
      </c>
      <c r="K5">
        <v>5.26987760139516E-2</v>
      </c>
      <c r="L5">
        <v>0.130280721730859</v>
      </c>
      <c r="M5">
        <v>1.47217737460104</v>
      </c>
      <c r="N5">
        <v>2</v>
      </c>
      <c r="O5">
        <v>9.0894102773783306E-2</v>
      </c>
      <c r="P5">
        <v>8.8359471324114494E-2</v>
      </c>
      <c r="Q5">
        <v>-2.78855434216339E-2</v>
      </c>
      <c r="R5">
        <v>2</v>
      </c>
      <c r="S5">
        <v>0.13939324495726199</v>
      </c>
      <c r="T5">
        <v>0.14569595143751399</v>
      </c>
      <c r="U5">
        <v>4.5215293482722997E-2</v>
      </c>
    </row>
    <row r="6" spans="1:21" x14ac:dyDescent="0.25">
      <c r="A6" t="s">
        <v>26</v>
      </c>
      <c r="B6" t="s">
        <v>22</v>
      </c>
      <c r="C6">
        <v>18</v>
      </c>
      <c r="D6">
        <v>135</v>
      </c>
      <c r="E6">
        <v>2926</v>
      </c>
      <c r="F6">
        <v>2</v>
      </c>
      <c r="G6">
        <v>4.6536739390897398E-2</v>
      </c>
      <c r="H6">
        <v>5.5146192704670603E-2</v>
      </c>
      <c r="I6">
        <v>0.18500336350288199</v>
      </c>
      <c r="J6">
        <v>2</v>
      </c>
      <c r="K6">
        <v>2.22961851999104E-2</v>
      </c>
      <c r="L6">
        <v>2.0031253621554501E-2</v>
      </c>
      <c r="M6">
        <v>-0.10158381615726</v>
      </c>
      <c r="N6">
        <v>2</v>
      </c>
      <c r="O6">
        <v>6.5300681443419301E-2</v>
      </c>
      <c r="P6">
        <v>6.1190238261656003E-2</v>
      </c>
      <c r="Q6">
        <v>-6.2946405625565194E-2</v>
      </c>
      <c r="R6">
        <v>2</v>
      </c>
      <c r="S6">
        <v>8.8705507314510199E-2</v>
      </c>
      <c r="T6">
        <v>8.4003366620349004E-2</v>
      </c>
      <c r="U6">
        <v>-5.3008441488186897E-2</v>
      </c>
    </row>
    <row r="7" spans="1:21" x14ac:dyDescent="0.25">
      <c r="A7" t="s">
        <v>27</v>
      </c>
      <c r="B7" t="s">
        <v>28</v>
      </c>
      <c r="C7">
        <v>18</v>
      </c>
      <c r="D7">
        <v>104</v>
      </c>
      <c r="E7">
        <v>1035</v>
      </c>
      <c r="F7">
        <v>1</v>
      </c>
      <c r="G7">
        <v>9.0427155240521001E-2</v>
      </c>
      <c r="H7">
        <v>9.0427155240521001E-2</v>
      </c>
      <c r="I7">
        <v>0</v>
      </c>
      <c r="J7">
        <v>1</v>
      </c>
      <c r="K7">
        <v>6.8071784208429006E-2</v>
      </c>
      <c r="L7">
        <v>6.8071784208429006E-2</v>
      </c>
      <c r="M7">
        <v>0</v>
      </c>
      <c r="N7">
        <v>1</v>
      </c>
      <c r="O7">
        <v>8.8407869357631397E-2</v>
      </c>
      <c r="P7">
        <v>8.8407869357631397E-2</v>
      </c>
      <c r="Q7">
        <v>0</v>
      </c>
      <c r="R7">
        <v>1</v>
      </c>
      <c r="S7">
        <v>9.2936935171438403E-2</v>
      </c>
      <c r="T7">
        <v>9.2936935171438403E-2</v>
      </c>
      <c r="U7">
        <v>0</v>
      </c>
    </row>
    <row r="8" spans="1:21" x14ac:dyDescent="0.25">
      <c r="A8" t="s">
        <v>29</v>
      </c>
      <c r="B8" t="s">
        <v>28</v>
      </c>
      <c r="C8">
        <v>18</v>
      </c>
      <c r="D8">
        <v>133</v>
      </c>
      <c r="E8">
        <v>2775</v>
      </c>
      <c r="F8">
        <v>2</v>
      </c>
      <c r="G8">
        <v>4.2527537634289701E-2</v>
      </c>
      <c r="H8">
        <v>6.8072020955853602E-2</v>
      </c>
      <c r="I8">
        <v>0.60065747378158996</v>
      </c>
      <c r="J8">
        <v>2</v>
      </c>
      <c r="K8">
        <v>8.7651556100679706E-2</v>
      </c>
      <c r="L8">
        <v>8.8393789364343806E-2</v>
      </c>
      <c r="M8">
        <v>8.4679987062811404E-3</v>
      </c>
      <c r="N8">
        <v>2</v>
      </c>
      <c r="O8">
        <v>2.8709865651498599E-2</v>
      </c>
      <c r="P8">
        <v>6.3195375609930396E-2</v>
      </c>
      <c r="Q8">
        <v>1.2011728085753499</v>
      </c>
      <c r="R8">
        <v>1</v>
      </c>
      <c r="S8">
        <v>6.6466668406836599E-2</v>
      </c>
      <c r="T8">
        <v>6.6466668406836599E-2</v>
      </c>
      <c r="U8">
        <v>0</v>
      </c>
    </row>
    <row r="9" spans="1:21" x14ac:dyDescent="0.25">
      <c r="A9" t="s">
        <v>30</v>
      </c>
      <c r="B9" t="s">
        <v>28</v>
      </c>
      <c r="C9">
        <v>18</v>
      </c>
      <c r="D9">
        <v>134</v>
      </c>
      <c r="E9">
        <v>2850</v>
      </c>
      <c r="F9">
        <v>2</v>
      </c>
      <c r="G9">
        <v>4.2071965286241901E-2</v>
      </c>
      <c r="H9">
        <v>5.1951295247086901E-2</v>
      </c>
      <c r="I9">
        <v>0.234819787800016</v>
      </c>
      <c r="J9">
        <v>1</v>
      </c>
      <c r="K9">
        <v>5.29239417944634E-2</v>
      </c>
      <c r="L9">
        <v>5.29239417944634E-2</v>
      </c>
      <c r="M9">
        <v>0</v>
      </c>
      <c r="N9">
        <v>1</v>
      </c>
      <c r="O9">
        <v>8.6711421792088503E-2</v>
      </c>
      <c r="P9">
        <v>8.6711421792088503E-2</v>
      </c>
      <c r="Q9">
        <v>0</v>
      </c>
      <c r="R9">
        <v>2</v>
      </c>
      <c r="S9">
        <v>0.115387740220472</v>
      </c>
      <c r="T9">
        <v>0.11534225958906701</v>
      </c>
      <c r="U9">
        <v>-3.9415479771159098E-4</v>
      </c>
    </row>
    <row r="10" spans="1:21" x14ac:dyDescent="0.25">
      <c r="A10" t="s">
        <v>31</v>
      </c>
      <c r="B10" t="s">
        <v>28</v>
      </c>
      <c r="C10">
        <v>18</v>
      </c>
      <c r="D10">
        <v>143</v>
      </c>
      <c r="E10">
        <v>3570</v>
      </c>
      <c r="F10">
        <v>2</v>
      </c>
      <c r="G10">
        <v>5.5685031895778697E-2</v>
      </c>
      <c r="H10">
        <v>9.4468940413910102E-2</v>
      </c>
      <c r="I10">
        <v>0.69648713842384202</v>
      </c>
      <c r="J10">
        <v>2</v>
      </c>
      <c r="K10">
        <v>3.8814096883718403E-2</v>
      </c>
      <c r="L10">
        <v>3.6918363462430798E-2</v>
      </c>
      <c r="M10">
        <v>-4.8841363666581199E-2</v>
      </c>
      <c r="N10">
        <v>2</v>
      </c>
      <c r="O10">
        <v>4.7998359890569497E-2</v>
      </c>
      <c r="P10">
        <v>1.9230589902700899E-2</v>
      </c>
      <c r="Q10">
        <v>-0.59934902053852701</v>
      </c>
      <c r="R10">
        <v>2</v>
      </c>
      <c r="S10">
        <v>9.6542219313779806E-2</v>
      </c>
      <c r="T10">
        <v>9.5538504146603601E-2</v>
      </c>
      <c r="U10">
        <v>-1.03966448493793E-2</v>
      </c>
    </row>
    <row r="11" spans="1:21" x14ac:dyDescent="0.25">
      <c r="A11" t="s">
        <v>32</v>
      </c>
      <c r="B11" t="s">
        <v>28</v>
      </c>
      <c r="C11">
        <v>18</v>
      </c>
      <c r="D11">
        <v>134</v>
      </c>
      <c r="E11">
        <v>2850</v>
      </c>
      <c r="F11">
        <v>2</v>
      </c>
      <c r="G11">
        <v>0.15301100507557</v>
      </c>
      <c r="H11">
        <v>0.115653262135265</v>
      </c>
      <c r="I11">
        <v>-0.24415069309461901</v>
      </c>
      <c r="J11">
        <v>2</v>
      </c>
      <c r="K11">
        <v>2.5599224932467898E-2</v>
      </c>
      <c r="L11">
        <v>3.0219992816398498E-2</v>
      </c>
      <c r="M11">
        <v>0.18050421042513801</v>
      </c>
      <c r="N11">
        <v>2</v>
      </c>
      <c r="O11">
        <v>0.13868833174176801</v>
      </c>
      <c r="P11">
        <v>0.14604528900744301</v>
      </c>
      <c r="Q11">
        <v>5.30466923444824E-2</v>
      </c>
      <c r="R11">
        <v>1</v>
      </c>
      <c r="S11">
        <v>0.12659753482536501</v>
      </c>
      <c r="T11">
        <v>0.12659753482536501</v>
      </c>
      <c r="U11">
        <v>0</v>
      </c>
    </row>
    <row r="12" spans="1:21" x14ac:dyDescent="0.25">
      <c r="A12" t="s">
        <v>33</v>
      </c>
      <c r="B12" t="s">
        <v>34</v>
      </c>
      <c r="C12">
        <v>18</v>
      </c>
      <c r="D12">
        <v>134</v>
      </c>
      <c r="E12">
        <v>2850</v>
      </c>
      <c r="F12">
        <v>2</v>
      </c>
      <c r="G12">
        <v>0.35342140114058102</v>
      </c>
      <c r="H12">
        <v>0.27342372375195501</v>
      </c>
      <c r="I12">
        <v>-0.226352102986557</v>
      </c>
      <c r="J12">
        <v>2</v>
      </c>
      <c r="K12">
        <v>0.127544946042078</v>
      </c>
      <c r="L12">
        <v>0.132781643547945</v>
      </c>
      <c r="M12">
        <v>4.1057663736351203E-2</v>
      </c>
      <c r="N12">
        <v>2</v>
      </c>
      <c r="O12">
        <v>0.142260266629924</v>
      </c>
      <c r="P12">
        <v>0.132417120063578</v>
      </c>
      <c r="Q12">
        <v>-6.9191115689049495E-2</v>
      </c>
      <c r="R12">
        <v>2</v>
      </c>
      <c r="S12">
        <v>0.21867836744868599</v>
      </c>
      <c r="T12">
        <v>0.224933075660466</v>
      </c>
      <c r="U12">
        <v>2.86023180287719E-2</v>
      </c>
    </row>
    <row r="13" spans="1:21" x14ac:dyDescent="0.25">
      <c r="A13" t="s">
        <v>35</v>
      </c>
      <c r="B13" t="s">
        <v>34</v>
      </c>
      <c r="C13">
        <v>18</v>
      </c>
      <c r="D13">
        <v>134</v>
      </c>
      <c r="E13">
        <v>2850</v>
      </c>
      <c r="F13">
        <v>2</v>
      </c>
      <c r="G13">
        <v>0.318244885557256</v>
      </c>
      <c r="H13">
        <v>0.29671399643986701</v>
      </c>
      <c r="I13">
        <v>-6.7655098619065795E-2</v>
      </c>
      <c r="J13">
        <v>2</v>
      </c>
      <c r="K13">
        <v>0.34391147916132297</v>
      </c>
      <c r="L13">
        <v>0.39947634303046198</v>
      </c>
      <c r="M13">
        <v>0.161567342865792</v>
      </c>
      <c r="N13">
        <v>1</v>
      </c>
      <c r="O13">
        <v>0.38129982006135499</v>
      </c>
      <c r="P13">
        <v>0.38129982006135499</v>
      </c>
      <c r="Q13">
        <v>0</v>
      </c>
      <c r="R13">
        <v>2</v>
      </c>
      <c r="S13">
        <v>0.29916544381298699</v>
      </c>
      <c r="T13">
        <v>0.285881125381513</v>
      </c>
      <c r="U13">
        <v>-4.4404588518512401E-2</v>
      </c>
    </row>
    <row r="14" spans="1:21" x14ac:dyDescent="0.25">
      <c r="A14" t="s">
        <v>36</v>
      </c>
      <c r="B14" t="s">
        <v>34</v>
      </c>
      <c r="C14">
        <v>18</v>
      </c>
      <c r="D14">
        <v>144</v>
      </c>
      <c r="E14">
        <v>3655</v>
      </c>
      <c r="F14">
        <v>2</v>
      </c>
      <c r="G14">
        <v>8.63500564052022E-2</v>
      </c>
      <c r="H14">
        <v>0.10005105223414</v>
      </c>
      <c r="I14">
        <v>0.158668058821469</v>
      </c>
      <c r="J14">
        <v>2</v>
      </c>
      <c r="K14">
        <v>9.4123108153875104E-2</v>
      </c>
      <c r="L14">
        <v>0.19661140634285201</v>
      </c>
      <c r="M14">
        <v>1.0888749872287</v>
      </c>
      <c r="N14">
        <v>2</v>
      </c>
      <c r="O14">
        <v>8.6917466254323006E-2</v>
      </c>
      <c r="P14">
        <v>9.4190952309856094E-2</v>
      </c>
      <c r="Q14">
        <v>8.3682674714086205E-2</v>
      </c>
      <c r="R14">
        <v>2</v>
      </c>
      <c r="S14">
        <v>8.3515185658397703E-2</v>
      </c>
      <c r="T14">
        <v>7.7782158300463006E-2</v>
      </c>
      <c r="U14">
        <v>-6.8646525931038302E-2</v>
      </c>
    </row>
    <row r="15" spans="1:21" x14ac:dyDescent="0.25">
      <c r="A15" t="s">
        <v>37</v>
      </c>
      <c r="B15" t="s">
        <v>34</v>
      </c>
      <c r="C15">
        <v>18</v>
      </c>
      <c r="D15">
        <v>144</v>
      </c>
      <c r="E15">
        <v>3655</v>
      </c>
      <c r="F15">
        <v>2</v>
      </c>
      <c r="G15">
        <v>0.11326758557772799</v>
      </c>
      <c r="H15">
        <v>0.11183764955714801</v>
      </c>
      <c r="I15">
        <v>-1.26244062967058E-2</v>
      </c>
      <c r="J15">
        <v>2</v>
      </c>
      <c r="K15">
        <v>0.183542000530174</v>
      </c>
      <c r="L15">
        <v>0.23018959240991799</v>
      </c>
      <c r="M15">
        <v>0.25415213817545301</v>
      </c>
      <c r="N15">
        <v>2</v>
      </c>
      <c r="O15">
        <v>0.21274456083580401</v>
      </c>
      <c r="P15">
        <v>0.19821762607489801</v>
      </c>
      <c r="Q15">
        <v>-6.8283460239053004E-2</v>
      </c>
      <c r="R15">
        <v>2</v>
      </c>
      <c r="S15">
        <v>0.138774496286583</v>
      </c>
      <c r="T15">
        <v>0.13438595215410101</v>
      </c>
      <c r="U15">
        <v>-3.1623563766497699E-2</v>
      </c>
    </row>
    <row r="16" spans="1:21" x14ac:dyDescent="0.25">
      <c r="A16" t="s">
        <v>38</v>
      </c>
      <c r="B16" t="s">
        <v>34</v>
      </c>
      <c r="C16">
        <v>18</v>
      </c>
      <c r="D16">
        <v>144</v>
      </c>
      <c r="E16">
        <v>3655</v>
      </c>
      <c r="F16">
        <v>1</v>
      </c>
      <c r="G16">
        <v>0.25545551349147599</v>
      </c>
      <c r="H16">
        <v>0.25545551349147599</v>
      </c>
      <c r="I16">
        <v>0</v>
      </c>
      <c r="J16">
        <v>2</v>
      </c>
      <c r="K16">
        <v>0.25963642985692797</v>
      </c>
      <c r="L16">
        <v>0.29876479658551602</v>
      </c>
      <c r="M16">
        <v>0.15070445526519399</v>
      </c>
      <c r="N16">
        <v>2</v>
      </c>
      <c r="O16">
        <v>0.23692013028630499</v>
      </c>
      <c r="P16">
        <v>0.25577347509163501</v>
      </c>
      <c r="Q16">
        <v>7.9576795701349803E-2</v>
      </c>
      <c r="R16">
        <v>1</v>
      </c>
      <c r="S16">
        <v>0.25927100033617201</v>
      </c>
      <c r="T16">
        <v>0.25927100033617201</v>
      </c>
      <c r="U16">
        <v>0</v>
      </c>
    </row>
    <row r="17" spans="1:21" x14ac:dyDescent="0.25">
      <c r="A17" t="s">
        <v>39</v>
      </c>
      <c r="B17" t="s">
        <v>40</v>
      </c>
      <c r="C17">
        <v>18</v>
      </c>
      <c r="D17">
        <v>132</v>
      </c>
      <c r="E17">
        <v>2701</v>
      </c>
      <c r="F17">
        <v>2</v>
      </c>
      <c r="G17">
        <v>0.35203728266186102</v>
      </c>
      <c r="H17">
        <v>0.25530504800718601</v>
      </c>
      <c r="I17">
        <v>-0.274778381207959</v>
      </c>
      <c r="J17">
        <v>2</v>
      </c>
      <c r="K17">
        <v>6.8093042115296695E-2</v>
      </c>
      <c r="L17">
        <v>0.123402040984515</v>
      </c>
      <c r="M17">
        <v>0.81225624749689196</v>
      </c>
      <c r="N17">
        <v>2</v>
      </c>
      <c r="O17">
        <v>0.15042030695141001</v>
      </c>
      <c r="P17">
        <v>0.133251867360417</v>
      </c>
      <c r="Q17">
        <v>-0.114136448322362</v>
      </c>
      <c r="R17">
        <v>2</v>
      </c>
      <c r="S17">
        <v>0.12824694631203201</v>
      </c>
      <c r="T17">
        <v>0.14498304643325999</v>
      </c>
      <c r="U17">
        <v>0.13049901461597499</v>
      </c>
    </row>
    <row r="18" spans="1:21" x14ac:dyDescent="0.25">
      <c r="A18" t="s">
        <v>41</v>
      </c>
      <c r="B18" t="s">
        <v>40</v>
      </c>
      <c r="C18">
        <v>18</v>
      </c>
      <c r="D18">
        <v>108</v>
      </c>
      <c r="E18">
        <v>1225</v>
      </c>
      <c r="F18">
        <v>2</v>
      </c>
      <c r="G18">
        <v>0.27316073363846399</v>
      </c>
      <c r="H18">
        <v>0.20255058075271501</v>
      </c>
      <c r="I18">
        <v>-0.25849305625018199</v>
      </c>
      <c r="J18">
        <v>1</v>
      </c>
      <c r="K18">
        <v>6.4743554253790997E-2</v>
      </c>
      <c r="L18">
        <v>6.4743554253790997E-2</v>
      </c>
      <c r="M18">
        <v>0</v>
      </c>
      <c r="N18">
        <v>2</v>
      </c>
      <c r="O18">
        <v>4.6457024900464799E-2</v>
      </c>
      <c r="P18">
        <v>5.7501031294409401E-2</v>
      </c>
      <c r="Q18">
        <v>0.23772521847033001</v>
      </c>
      <c r="R18">
        <v>2</v>
      </c>
      <c r="S18">
        <v>0.115008450257545</v>
      </c>
      <c r="T18">
        <v>0.109790313924699</v>
      </c>
      <c r="U18">
        <v>-4.5371764606522702E-2</v>
      </c>
    </row>
    <row r="19" spans="1:21" x14ac:dyDescent="0.25">
      <c r="A19" t="s">
        <v>42</v>
      </c>
      <c r="B19" t="s">
        <v>40</v>
      </c>
      <c r="C19">
        <v>18</v>
      </c>
      <c r="D19">
        <v>134</v>
      </c>
      <c r="E19">
        <v>2850</v>
      </c>
      <c r="F19">
        <v>2</v>
      </c>
      <c r="G19">
        <v>0.38393255137242899</v>
      </c>
      <c r="H19">
        <v>0.43600494013004099</v>
      </c>
      <c r="I19">
        <v>0.135629001947011</v>
      </c>
      <c r="J19">
        <v>2</v>
      </c>
      <c r="K19">
        <v>0.37253738032879702</v>
      </c>
      <c r="L19">
        <v>0.37968321944884698</v>
      </c>
      <c r="M19">
        <v>1.91815358602224E-2</v>
      </c>
      <c r="N19">
        <v>2</v>
      </c>
      <c r="O19">
        <v>0.36720182106455901</v>
      </c>
      <c r="P19">
        <v>0.37522698972441398</v>
      </c>
      <c r="Q19">
        <v>2.18549260910249E-2</v>
      </c>
      <c r="R19">
        <v>2</v>
      </c>
      <c r="S19">
        <v>0.335561921557468</v>
      </c>
      <c r="T19">
        <v>0.35198569765943999</v>
      </c>
      <c r="U19">
        <v>4.8944099574060797E-2</v>
      </c>
    </row>
    <row r="20" spans="1:21" x14ac:dyDescent="0.25">
      <c r="A20" t="s">
        <v>43</v>
      </c>
      <c r="B20" t="s">
        <v>40</v>
      </c>
      <c r="C20">
        <v>18</v>
      </c>
      <c r="D20">
        <v>134</v>
      </c>
      <c r="E20">
        <v>2850</v>
      </c>
      <c r="F20">
        <v>2</v>
      </c>
      <c r="G20">
        <v>0.361508252062823</v>
      </c>
      <c r="H20">
        <v>0.33428275206799202</v>
      </c>
      <c r="I20">
        <v>-7.5310867288581801E-2</v>
      </c>
      <c r="J20">
        <v>2</v>
      </c>
      <c r="K20">
        <v>0.225504770455346</v>
      </c>
      <c r="L20">
        <v>0.28328385879554102</v>
      </c>
      <c r="M20">
        <v>0.25622113547099201</v>
      </c>
      <c r="N20">
        <v>2</v>
      </c>
      <c r="O20">
        <v>0.25623027960782202</v>
      </c>
      <c r="P20">
        <v>0.26817514090498901</v>
      </c>
      <c r="Q20">
        <v>4.6617680453102502E-2</v>
      </c>
      <c r="R20">
        <v>2</v>
      </c>
      <c r="S20">
        <v>0.28298001714967902</v>
      </c>
      <c r="T20">
        <v>0.29012987120526301</v>
      </c>
      <c r="U20">
        <v>2.5266286035322098E-2</v>
      </c>
    </row>
    <row r="21" spans="1:21" x14ac:dyDescent="0.25">
      <c r="A21" t="s">
        <v>44</v>
      </c>
      <c r="B21" t="s">
        <v>40</v>
      </c>
      <c r="C21">
        <v>18</v>
      </c>
      <c r="D21">
        <v>134</v>
      </c>
      <c r="E21">
        <v>2850</v>
      </c>
      <c r="F21">
        <v>2</v>
      </c>
      <c r="G21">
        <v>0.18052283942851899</v>
      </c>
      <c r="H21">
        <v>0.192642645898356</v>
      </c>
      <c r="I21">
        <v>6.7137247055300303E-2</v>
      </c>
      <c r="J21">
        <v>2</v>
      </c>
      <c r="K21">
        <v>9.9116795434022395E-2</v>
      </c>
      <c r="L21">
        <v>9.5181934295747894E-2</v>
      </c>
      <c r="M21">
        <v>-3.96992368553096E-2</v>
      </c>
      <c r="N21">
        <v>2</v>
      </c>
      <c r="O21">
        <v>0.13261457555841399</v>
      </c>
      <c r="P21">
        <v>0.14054367456837999</v>
      </c>
      <c r="Q21">
        <v>5.97905545192009E-2</v>
      </c>
      <c r="R21">
        <v>2</v>
      </c>
      <c r="S21">
        <v>0.18994948652674801</v>
      </c>
      <c r="T21">
        <v>0.18584419706573599</v>
      </c>
      <c r="U21">
        <v>-2.16125325531401E-2</v>
      </c>
    </row>
    <row r="22" spans="1:21" x14ac:dyDescent="0.25">
      <c r="A22" t="s">
        <v>45</v>
      </c>
      <c r="B22" t="s">
        <v>46</v>
      </c>
      <c r="C22">
        <v>18</v>
      </c>
      <c r="D22">
        <v>126</v>
      </c>
      <c r="E22">
        <v>2278</v>
      </c>
      <c r="F22">
        <v>1</v>
      </c>
      <c r="G22">
        <v>0.18716394492007901</v>
      </c>
      <c r="H22">
        <v>0.18716394492007901</v>
      </c>
      <c r="I22">
        <v>0</v>
      </c>
      <c r="J22">
        <v>1</v>
      </c>
      <c r="K22">
        <v>0.15274162759259</v>
      </c>
      <c r="L22">
        <v>0.15274162759259</v>
      </c>
      <c r="M22">
        <v>0</v>
      </c>
      <c r="N22">
        <v>1</v>
      </c>
      <c r="O22">
        <v>0.19150309594380599</v>
      </c>
      <c r="P22">
        <v>0.19150309594380599</v>
      </c>
      <c r="Q22">
        <v>0</v>
      </c>
      <c r="R22">
        <v>2</v>
      </c>
      <c r="S22">
        <v>0.163068467644474</v>
      </c>
      <c r="T22">
        <v>0.13935081954856299</v>
      </c>
      <c r="U22">
        <v>-0.145445949413229</v>
      </c>
    </row>
    <row r="23" spans="1:21" x14ac:dyDescent="0.25">
      <c r="A23" t="s">
        <v>47</v>
      </c>
      <c r="B23" t="s">
        <v>46</v>
      </c>
      <c r="C23">
        <v>18</v>
      </c>
      <c r="D23">
        <v>126</v>
      </c>
      <c r="E23">
        <v>2278</v>
      </c>
      <c r="F23">
        <v>2</v>
      </c>
      <c r="G23">
        <v>0.227687564022935</v>
      </c>
      <c r="H23">
        <v>0.15633221564754499</v>
      </c>
      <c r="I23">
        <v>-0.31339150507228603</v>
      </c>
      <c r="J23">
        <v>2</v>
      </c>
      <c r="K23">
        <v>0.10475589483996001</v>
      </c>
      <c r="L23">
        <v>0.14055479521514799</v>
      </c>
      <c r="M23">
        <v>0.34173638084883201</v>
      </c>
      <c r="N23">
        <v>1</v>
      </c>
      <c r="O23">
        <v>8.8918417369275402E-2</v>
      </c>
      <c r="P23">
        <v>8.8918417369275402E-2</v>
      </c>
      <c r="Q23">
        <v>0</v>
      </c>
      <c r="R23">
        <v>1</v>
      </c>
      <c r="S23">
        <v>0.120495315419668</v>
      </c>
      <c r="T23">
        <v>0.120495315419668</v>
      </c>
      <c r="U23">
        <v>0</v>
      </c>
    </row>
    <row r="24" spans="1:21" x14ac:dyDescent="0.25">
      <c r="A24" t="s">
        <v>48</v>
      </c>
      <c r="B24" t="s">
        <v>46</v>
      </c>
      <c r="C24">
        <v>18</v>
      </c>
      <c r="D24">
        <v>126</v>
      </c>
      <c r="E24">
        <v>2278</v>
      </c>
      <c r="F24">
        <v>2</v>
      </c>
      <c r="G24">
        <v>0.18610466043778601</v>
      </c>
      <c r="H24">
        <v>0.18999841183605401</v>
      </c>
      <c r="I24">
        <v>2.09223744806162E-2</v>
      </c>
      <c r="J24">
        <v>2</v>
      </c>
      <c r="K24">
        <v>0.22980588953765599</v>
      </c>
      <c r="L24">
        <v>0.165355450227469</v>
      </c>
      <c r="M24">
        <v>-0.280455994578095</v>
      </c>
      <c r="N24">
        <v>2</v>
      </c>
      <c r="O24">
        <v>0.22765095504927799</v>
      </c>
      <c r="P24">
        <v>0.21147050872600701</v>
      </c>
      <c r="Q24">
        <v>-7.1075679518972507E-2</v>
      </c>
      <c r="R24">
        <v>2</v>
      </c>
      <c r="S24">
        <v>0.17282058199018899</v>
      </c>
      <c r="T24">
        <v>0.17060869379237101</v>
      </c>
      <c r="U24">
        <v>-1.2798754479041099E-2</v>
      </c>
    </row>
    <row r="25" spans="1:21" x14ac:dyDescent="0.25">
      <c r="A25" t="s">
        <v>49</v>
      </c>
      <c r="B25" t="s">
        <v>46</v>
      </c>
      <c r="C25">
        <v>18</v>
      </c>
      <c r="D25">
        <v>126</v>
      </c>
      <c r="E25">
        <v>2278</v>
      </c>
      <c r="F25">
        <v>2</v>
      </c>
      <c r="G25">
        <v>0.23529531509127599</v>
      </c>
      <c r="H25">
        <v>9.7709358848428907E-2</v>
      </c>
      <c r="I25">
        <v>-0.584737338223137</v>
      </c>
      <c r="J25">
        <v>1</v>
      </c>
      <c r="K25">
        <v>7.0175289571223404E-2</v>
      </c>
      <c r="L25">
        <v>7.0175289571223404E-2</v>
      </c>
      <c r="M25">
        <v>0</v>
      </c>
      <c r="N25">
        <v>1</v>
      </c>
      <c r="O25">
        <v>2.6222067044771299E-2</v>
      </c>
      <c r="P25">
        <v>2.6222067044771299E-2</v>
      </c>
      <c r="Q25">
        <v>0</v>
      </c>
      <c r="R25">
        <v>1</v>
      </c>
      <c r="S25">
        <v>5.7253855387080402E-2</v>
      </c>
      <c r="T25">
        <v>5.7253855387080402E-2</v>
      </c>
      <c r="U25">
        <v>0</v>
      </c>
    </row>
    <row r="26" spans="1:21" x14ac:dyDescent="0.25">
      <c r="A26" t="s">
        <v>50</v>
      </c>
      <c r="B26" t="s">
        <v>46</v>
      </c>
      <c r="C26">
        <v>18</v>
      </c>
      <c r="D26">
        <v>126</v>
      </c>
      <c r="E26">
        <v>2278</v>
      </c>
      <c r="F26">
        <v>1</v>
      </c>
      <c r="G26">
        <v>0.15478923899482799</v>
      </c>
      <c r="H26">
        <v>0.15478923899482799</v>
      </c>
      <c r="I26">
        <v>0</v>
      </c>
      <c r="J26">
        <v>1</v>
      </c>
      <c r="K26">
        <v>8.7530635615007901E-2</v>
      </c>
      <c r="L26">
        <v>8.7530635615007901E-2</v>
      </c>
      <c r="M26">
        <v>0</v>
      </c>
      <c r="N26">
        <v>1</v>
      </c>
      <c r="O26">
        <v>7.5546903896336698E-2</v>
      </c>
      <c r="P26">
        <v>7.5546903896336698E-2</v>
      </c>
      <c r="Q26">
        <v>0</v>
      </c>
      <c r="R26">
        <v>1</v>
      </c>
      <c r="S26">
        <v>8.6154899510894598E-2</v>
      </c>
      <c r="T26">
        <v>8.6154899510894598E-2</v>
      </c>
      <c r="U26">
        <v>0</v>
      </c>
    </row>
    <row r="27" spans="1:21" x14ac:dyDescent="0.25">
      <c r="A27" t="s">
        <v>51</v>
      </c>
      <c r="B27" t="s">
        <v>52</v>
      </c>
      <c r="C27">
        <v>18</v>
      </c>
      <c r="D27">
        <v>120</v>
      </c>
      <c r="E27">
        <v>1891</v>
      </c>
      <c r="F27">
        <v>2</v>
      </c>
      <c r="G27">
        <v>0.19046994905656101</v>
      </c>
      <c r="H27">
        <v>0.18872584834834399</v>
      </c>
      <c r="I27">
        <v>-9.1568287640959502E-3</v>
      </c>
      <c r="J27">
        <v>2</v>
      </c>
      <c r="K27">
        <v>0.163703670022318</v>
      </c>
      <c r="L27">
        <v>0.182965295571721</v>
      </c>
      <c r="M27">
        <v>0.117661537745473</v>
      </c>
      <c r="N27">
        <v>2</v>
      </c>
      <c r="O27">
        <v>0.15975061522821199</v>
      </c>
      <c r="P27">
        <v>0.155885242164189</v>
      </c>
      <c r="Q27">
        <v>-2.4196295322564801E-2</v>
      </c>
      <c r="R27">
        <v>1</v>
      </c>
      <c r="S27">
        <v>0.21358854006800601</v>
      </c>
      <c r="T27">
        <v>0.21358854006800601</v>
      </c>
      <c r="U27">
        <v>0</v>
      </c>
    </row>
    <row r="28" spans="1:21" x14ac:dyDescent="0.25">
      <c r="A28" t="s">
        <v>53</v>
      </c>
      <c r="B28" t="s">
        <v>52</v>
      </c>
      <c r="C28">
        <v>18</v>
      </c>
      <c r="D28">
        <v>120</v>
      </c>
      <c r="E28">
        <v>1891</v>
      </c>
      <c r="F28">
        <v>2</v>
      </c>
      <c r="G28">
        <v>0.19549576758826601</v>
      </c>
      <c r="H28">
        <v>0.175262532148696</v>
      </c>
      <c r="I28">
        <v>-0.103497051057308</v>
      </c>
      <c r="J28">
        <v>1</v>
      </c>
      <c r="K28">
        <v>0.194110508241256</v>
      </c>
      <c r="L28">
        <v>0.194110508241256</v>
      </c>
      <c r="M28">
        <v>0</v>
      </c>
      <c r="N28">
        <v>1</v>
      </c>
      <c r="O28">
        <v>0.20346580145808699</v>
      </c>
      <c r="P28">
        <v>0.20346580145808699</v>
      </c>
      <c r="Q28">
        <v>0</v>
      </c>
      <c r="R28">
        <v>1</v>
      </c>
      <c r="S28">
        <v>0.197805075834043</v>
      </c>
      <c r="T28">
        <v>0.197805075834043</v>
      </c>
      <c r="U28">
        <v>0</v>
      </c>
    </row>
    <row r="29" spans="1:21" x14ac:dyDescent="0.25">
      <c r="A29" t="s">
        <v>54</v>
      </c>
      <c r="B29" t="s">
        <v>52</v>
      </c>
      <c r="C29">
        <v>18</v>
      </c>
      <c r="D29">
        <v>96</v>
      </c>
      <c r="E29">
        <v>703</v>
      </c>
      <c r="F29">
        <v>1</v>
      </c>
      <c r="G29">
        <v>0.218944289091623</v>
      </c>
      <c r="H29">
        <v>0.218944289091623</v>
      </c>
      <c r="I29">
        <v>0</v>
      </c>
      <c r="J29">
        <v>1</v>
      </c>
      <c r="K29">
        <v>0.23517813908170801</v>
      </c>
      <c r="L29">
        <v>0.23517813908170801</v>
      </c>
      <c r="M29">
        <v>0</v>
      </c>
      <c r="N29">
        <v>1</v>
      </c>
      <c r="O29">
        <v>0.223833093750615</v>
      </c>
      <c r="P29">
        <v>0.223833093750615</v>
      </c>
      <c r="Q29">
        <v>0</v>
      </c>
      <c r="R29">
        <v>1</v>
      </c>
      <c r="S29">
        <v>0.21044641735282801</v>
      </c>
      <c r="T29">
        <v>0.21044641735282801</v>
      </c>
      <c r="U29">
        <v>0</v>
      </c>
    </row>
    <row r="30" spans="1:21" x14ac:dyDescent="0.25">
      <c r="A30" t="s">
        <v>55</v>
      </c>
      <c r="B30" t="s">
        <v>52</v>
      </c>
      <c r="C30">
        <v>18</v>
      </c>
      <c r="D30">
        <v>96</v>
      </c>
      <c r="E30">
        <v>703</v>
      </c>
      <c r="F30">
        <v>1</v>
      </c>
      <c r="G30">
        <v>0.26044807146770299</v>
      </c>
      <c r="H30">
        <v>0.26044807146770299</v>
      </c>
      <c r="I30">
        <v>0</v>
      </c>
      <c r="J30">
        <v>1</v>
      </c>
      <c r="K30">
        <v>9.8500121554924505E-2</v>
      </c>
      <c r="L30">
        <v>9.8500121554924505E-2</v>
      </c>
      <c r="M30">
        <v>0</v>
      </c>
      <c r="N30">
        <v>1</v>
      </c>
      <c r="O30">
        <v>9.4299917423587995E-2</v>
      </c>
      <c r="P30">
        <v>9.4299917423587995E-2</v>
      </c>
      <c r="Q30">
        <v>0</v>
      </c>
      <c r="R30">
        <v>1</v>
      </c>
      <c r="S30">
        <v>0.101064075681417</v>
      </c>
      <c r="T30">
        <v>0.101064075681417</v>
      </c>
      <c r="U30">
        <v>0</v>
      </c>
    </row>
    <row r="31" spans="1:21" x14ac:dyDescent="0.25">
      <c r="A31" t="s">
        <v>56</v>
      </c>
      <c r="B31" t="s">
        <v>52</v>
      </c>
      <c r="C31">
        <v>18</v>
      </c>
      <c r="D31">
        <v>96</v>
      </c>
      <c r="E31">
        <v>703</v>
      </c>
      <c r="F31">
        <v>1</v>
      </c>
      <c r="G31">
        <v>0.23472379036656499</v>
      </c>
      <c r="H31">
        <v>0.23472379036656499</v>
      </c>
      <c r="I31">
        <v>0</v>
      </c>
      <c r="J31">
        <v>1</v>
      </c>
      <c r="K31">
        <v>6.9850339079473994E-2</v>
      </c>
      <c r="L31">
        <v>6.9850339079473994E-2</v>
      </c>
      <c r="M31">
        <v>0</v>
      </c>
      <c r="N31">
        <v>1</v>
      </c>
      <c r="O31">
        <v>7.1406774489912297E-2</v>
      </c>
      <c r="P31">
        <v>7.1406774489912297E-2</v>
      </c>
      <c r="Q31">
        <v>0</v>
      </c>
      <c r="R31">
        <v>1</v>
      </c>
      <c r="S31">
        <v>7.3526404029220005E-2</v>
      </c>
      <c r="T31">
        <v>7.3526404029220005E-2</v>
      </c>
      <c r="U31">
        <v>0</v>
      </c>
    </row>
    <row r="33" spans="1:21" x14ac:dyDescent="0.25">
      <c r="A33" t="s">
        <v>87</v>
      </c>
      <c r="I33">
        <f>AVERAGE(I2:I31)</f>
        <v>-2.3254458126134012E-2</v>
      </c>
      <c r="M33">
        <f>AVERAGE(M2:M31)</f>
        <v>0.2061587638314234</v>
      </c>
      <c r="Q33">
        <f>AVERAGE(Q2:Q31)</f>
        <v>1.7501122274926791E-2</v>
      </c>
      <c r="U33">
        <f>AVERAGE(U2:U31)</f>
        <v>1.2993889751290559E-2</v>
      </c>
    </row>
    <row r="36" spans="1:21" x14ac:dyDescent="0.25">
      <c r="A36" t="s">
        <v>57</v>
      </c>
      <c r="B36" t="s">
        <v>88</v>
      </c>
      <c r="C36">
        <v>18</v>
      </c>
      <c r="D36">
        <v>122</v>
      </c>
      <c r="E36">
        <v>2415</v>
      </c>
      <c r="F36">
        <v>2</v>
      </c>
      <c r="G36">
        <v>0.188589581615178</v>
      </c>
      <c r="H36">
        <v>0.19586293944958699</v>
      </c>
      <c r="I36">
        <v>3.8567124292425703E-2</v>
      </c>
      <c r="J36">
        <v>2</v>
      </c>
      <c r="K36">
        <v>0.34359506880014401</v>
      </c>
      <c r="L36">
        <v>0.32797550166878298</v>
      </c>
      <c r="M36">
        <v>-4.5459229627205097E-2</v>
      </c>
      <c r="N36">
        <v>2</v>
      </c>
      <c r="O36">
        <v>0.186524741983151</v>
      </c>
      <c r="P36">
        <v>0.20608753318268699</v>
      </c>
      <c r="Q36">
        <v>0.104880408848401</v>
      </c>
      <c r="R36">
        <v>2</v>
      </c>
      <c r="S36">
        <v>0.24831013647530001</v>
      </c>
      <c r="T36">
        <v>0.23353079958989201</v>
      </c>
      <c r="U36">
        <v>-5.9519668005490002E-2</v>
      </c>
    </row>
    <row r="37" spans="1:21" x14ac:dyDescent="0.25">
      <c r="A37" t="s">
        <v>58</v>
      </c>
      <c r="B37" t="s">
        <v>88</v>
      </c>
      <c r="C37">
        <v>18</v>
      </c>
      <c r="D37">
        <v>115</v>
      </c>
      <c r="E37">
        <v>1953</v>
      </c>
      <c r="F37">
        <v>2</v>
      </c>
      <c r="G37">
        <v>6.5957164536820503E-2</v>
      </c>
      <c r="H37">
        <v>9.6189689595684497E-2</v>
      </c>
      <c r="I37">
        <v>0.45836605122687701</v>
      </c>
      <c r="J37">
        <v>2</v>
      </c>
      <c r="K37">
        <v>4.5849714029379103E-2</v>
      </c>
      <c r="L37">
        <v>6.3281417419367506E-2</v>
      </c>
      <c r="M37">
        <v>0.38019219441191399</v>
      </c>
      <c r="N37">
        <v>2</v>
      </c>
      <c r="O37">
        <v>2.8663408360329799E-2</v>
      </c>
      <c r="P37">
        <v>3.2801745978817097E-2</v>
      </c>
      <c r="Q37">
        <v>0.14437702475797501</v>
      </c>
      <c r="R37">
        <v>2</v>
      </c>
      <c r="S37">
        <v>5.2649470513053499E-2</v>
      </c>
      <c r="T37">
        <v>5.5318097822323102E-2</v>
      </c>
      <c r="U37">
        <v>5.0686688456020999E-2</v>
      </c>
    </row>
    <row r="38" spans="1:21" x14ac:dyDescent="0.25">
      <c r="A38" t="s">
        <v>59</v>
      </c>
      <c r="B38" t="s">
        <v>88</v>
      </c>
      <c r="C38">
        <v>18</v>
      </c>
      <c r="D38">
        <v>150</v>
      </c>
      <c r="E38">
        <v>4753</v>
      </c>
      <c r="F38">
        <v>3</v>
      </c>
      <c r="G38">
        <v>8.8934642083847604E-2</v>
      </c>
      <c r="H38">
        <v>9.0735584087077797E-2</v>
      </c>
      <c r="I38">
        <v>2.0250174296899001E-2</v>
      </c>
      <c r="J38">
        <v>3</v>
      </c>
      <c r="K38">
        <v>0.104858049064911</v>
      </c>
      <c r="L38">
        <v>9.8790629011383704E-2</v>
      </c>
      <c r="M38">
        <v>-5.7863178913159799E-2</v>
      </c>
      <c r="N38">
        <v>3</v>
      </c>
      <c r="O38">
        <v>0.122936073976778</v>
      </c>
      <c r="P38">
        <v>9.9299164184895997E-2</v>
      </c>
      <c r="Q38">
        <v>-0.19226992555778899</v>
      </c>
      <c r="R38">
        <v>3</v>
      </c>
      <c r="S38">
        <v>0.148489638889301</v>
      </c>
      <c r="T38">
        <v>0.1490721050495</v>
      </c>
      <c r="U38">
        <v>3.9226047322614499E-3</v>
      </c>
    </row>
    <row r="39" spans="1:21" x14ac:dyDescent="0.25">
      <c r="A39" t="s">
        <v>60</v>
      </c>
      <c r="B39" t="s">
        <v>88</v>
      </c>
      <c r="C39">
        <v>18</v>
      </c>
      <c r="D39">
        <v>161</v>
      </c>
      <c r="E39">
        <v>5886</v>
      </c>
      <c r="F39">
        <v>3</v>
      </c>
      <c r="G39">
        <v>0.26379682078977501</v>
      </c>
      <c r="H39">
        <v>0.168322229520038</v>
      </c>
      <c r="I39">
        <v>-0.361924722913256</v>
      </c>
      <c r="J39">
        <v>3</v>
      </c>
      <c r="K39">
        <v>7.6773916511754803E-2</v>
      </c>
      <c r="L39">
        <v>6.4757838661122696E-2</v>
      </c>
      <c r="M39">
        <v>-0.15651250315974499</v>
      </c>
      <c r="N39">
        <v>2</v>
      </c>
      <c r="O39">
        <v>0.114545132793952</v>
      </c>
      <c r="P39">
        <v>4.1684227947244003E-2</v>
      </c>
      <c r="Q39">
        <v>-0.63608905127180804</v>
      </c>
      <c r="R39">
        <v>3</v>
      </c>
      <c r="S39">
        <v>8.7429542128278706E-2</v>
      </c>
      <c r="T39">
        <v>8.3394033761648403E-2</v>
      </c>
      <c r="U39">
        <v>-4.61572629616352E-2</v>
      </c>
    </row>
    <row r="40" spans="1:21" x14ac:dyDescent="0.25">
      <c r="A40" t="s">
        <v>61</v>
      </c>
      <c r="B40" t="s">
        <v>88</v>
      </c>
      <c r="C40">
        <v>18</v>
      </c>
      <c r="D40">
        <v>184</v>
      </c>
      <c r="E40">
        <v>8646</v>
      </c>
      <c r="F40">
        <v>3</v>
      </c>
      <c r="G40">
        <v>3.2517313840840403E-2</v>
      </c>
      <c r="H40">
        <v>5.7009968146786397E-2</v>
      </c>
      <c r="I40">
        <v>0.75321886751863898</v>
      </c>
      <c r="J40">
        <v>2</v>
      </c>
      <c r="K40">
        <v>8.0432647940542001E-2</v>
      </c>
      <c r="L40">
        <v>7.4205358297322305E-2</v>
      </c>
      <c r="M40">
        <v>-7.7422412449023204E-2</v>
      </c>
      <c r="N40">
        <v>3</v>
      </c>
      <c r="O40">
        <v>2.4596397313971799E-2</v>
      </c>
      <c r="P40">
        <v>6.9623882966568906E-2</v>
      </c>
      <c r="Q40">
        <v>1.8306536960605699</v>
      </c>
      <c r="R40">
        <v>3</v>
      </c>
      <c r="S40">
        <v>9.2472646632901695E-2</v>
      </c>
      <c r="T40">
        <v>6.4175049339001394E-2</v>
      </c>
      <c r="U40">
        <v>-0.30601046173401097</v>
      </c>
    </row>
    <row r="41" spans="1:21" x14ac:dyDescent="0.25">
      <c r="A41" t="s">
        <v>62</v>
      </c>
      <c r="B41" t="s">
        <v>89</v>
      </c>
      <c r="C41">
        <v>18</v>
      </c>
      <c r="D41">
        <v>114</v>
      </c>
      <c r="E41">
        <v>1891</v>
      </c>
      <c r="F41">
        <v>2</v>
      </c>
      <c r="G41">
        <v>0.12352087661017599</v>
      </c>
      <c r="H41">
        <v>0.27386385671774</v>
      </c>
      <c r="I41">
        <v>1.2171463175576001</v>
      </c>
      <c r="J41">
        <v>2</v>
      </c>
      <c r="K41">
        <v>0.152740285736959</v>
      </c>
      <c r="L41">
        <v>0.16930374024441699</v>
      </c>
      <c r="M41">
        <v>0.108441950514498</v>
      </c>
      <c r="N41">
        <v>2</v>
      </c>
      <c r="O41">
        <v>0.15072823269719501</v>
      </c>
      <c r="P41">
        <v>6.3597418982075798E-2</v>
      </c>
      <c r="Q41">
        <v>-0.57806564938740101</v>
      </c>
      <c r="R41">
        <v>2</v>
      </c>
      <c r="S41">
        <v>0.26405020619095199</v>
      </c>
      <c r="T41">
        <v>0.13741661138220801</v>
      </c>
      <c r="U41">
        <v>-0.47958150321294102</v>
      </c>
    </row>
    <row r="42" spans="1:21" x14ac:dyDescent="0.25">
      <c r="A42" t="s">
        <v>63</v>
      </c>
      <c r="B42" t="s">
        <v>89</v>
      </c>
      <c r="C42">
        <v>18</v>
      </c>
      <c r="D42">
        <v>122</v>
      </c>
      <c r="E42">
        <v>2415</v>
      </c>
      <c r="F42">
        <v>2</v>
      </c>
      <c r="G42">
        <v>0.111439125174566</v>
      </c>
      <c r="H42">
        <v>3.67431520136643E-2</v>
      </c>
      <c r="I42">
        <v>-0.67028499231210503</v>
      </c>
      <c r="J42">
        <v>2</v>
      </c>
      <c r="K42">
        <v>2.4956960500857699E-2</v>
      </c>
      <c r="L42">
        <v>2.51439588896556E-2</v>
      </c>
      <c r="M42">
        <v>7.49283506665649E-3</v>
      </c>
      <c r="N42">
        <v>1</v>
      </c>
      <c r="O42">
        <v>7.2439102082615503E-2</v>
      </c>
      <c r="P42">
        <v>7.2439102082615503E-2</v>
      </c>
      <c r="Q42">
        <v>0</v>
      </c>
      <c r="R42">
        <v>2</v>
      </c>
      <c r="S42">
        <v>2.7382098136096499E-2</v>
      </c>
      <c r="T42">
        <v>2.8350675143819899E-2</v>
      </c>
      <c r="U42">
        <v>3.5372636636872297E-2</v>
      </c>
    </row>
    <row r="43" spans="1:21" x14ac:dyDescent="0.25">
      <c r="A43" t="s">
        <v>64</v>
      </c>
      <c r="B43" t="s">
        <v>89</v>
      </c>
      <c r="C43">
        <v>18</v>
      </c>
      <c r="D43">
        <v>123</v>
      </c>
      <c r="E43">
        <v>2485</v>
      </c>
      <c r="F43">
        <v>1</v>
      </c>
      <c r="G43">
        <v>0.41290398981304199</v>
      </c>
      <c r="H43">
        <v>0.41290398981304199</v>
      </c>
      <c r="I43">
        <v>0</v>
      </c>
      <c r="J43">
        <v>1</v>
      </c>
      <c r="K43">
        <v>0.44076545186052801</v>
      </c>
      <c r="L43">
        <v>0.44076545186052801</v>
      </c>
      <c r="M43">
        <v>0</v>
      </c>
      <c r="N43">
        <v>2</v>
      </c>
      <c r="O43">
        <v>0.43748798417143397</v>
      </c>
      <c r="P43">
        <v>0.47664124361775401</v>
      </c>
      <c r="Q43">
        <v>8.9495622423719307E-2</v>
      </c>
      <c r="R43">
        <v>2</v>
      </c>
      <c r="S43">
        <v>0.46734019893942302</v>
      </c>
      <c r="T43">
        <v>0.424774978391047</v>
      </c>
      <c r="U43">
        <v>-9.1079733018842202E-2</v>
      </c>
    </row>
    <row r="44" spans="1:21" x14ac:dyDescent="0.25">
      <c r="A44" t="s">
        <v>65</v>
      </c>
      <c r="B44" t="s">
        <v>89</v>
      </c>
      <c r="C44">
        <v>18</v>
      </c>
      <c r="D44">
        <v>102</v>
      </c>
      <c r="E44">
        <v>1225</v>
      </c>
      <c r="F44">
        <v>2</v>
      </c>
      <c r="G44">
        <v>0.106764578482323</v>
      </c>
      <c r="H44">
        <v>0.192003553663637</v>
      </c>
      <c r="I44">
        <v>0.79838253841302598</v>
      </c>
      <c r="J44">
        <v>2</v>
      </c>
      <c r="K44">
        <v>3.3675941861634799E-2</v>
      </c>
      <c r="L44">
        <v>7.0297178461734805E-2</v>
      </c>
      <c r="M44">
        <v>1.0874599068547699</v>
      </c>
      <c r="N44">
        <v>2</v>
      </c>
      <c r="O44">
        <v>3.8955434848744502E-2</v>
      </c>
      <c r="P44">
        <v>2.4789364269504802E-2</v>
      </c>
      <c r="Q44">
        <v>-0.36364811827267202</v>
      </c>
      <c r="R44">
        <v>2</v>
      </c>
      <c r="S44">
        <v>8.8618908330247895E-2</v>
      </c>
      <c r="T44">
        <v>9.0440972958925794E-2</v>
      </c>
      <c r="U44">
        <v>2.0560675627912299E-2</v>
      </c>
    </row>
    <row r="45" spans="1:21" x14ac:dyDescent="0.25">
      <c r="A45" t="s">
        <v>66</v>
      </c>
      <c r="B45" t="s">
        <v>89</v>
      </c>
      <c r="C45">
        <v>18</v>
      </c>
      <c r="D45">
        <v>109</v>
      </c>
      <c r="E45">
        <v>1596</v>
      </c>
      <c r="F45">
        <v>2</v>
      </c>
      <c r="G45">
        <v>8.8392973889577606E-2</v>
      </c>
      <c r="H45">
        <v>0.103813542080483</v>
      </c>
      <c r="I45">
        <v>0.17445468245213699</v>
      </c>
      <c r="J45">
        <v>2</v>
      </c>
      <c r="K45">
        <v>0.10007923574203</v>
      </c>
      <c r="L45">
        <v>0.109579177660242</v>
      </c>
      <c r="M45">
        <v>9.4924205283699603E-2</v>
      </c>
      <c r="N45">
        <v>2</v>
      </c>
      <c r="O45">
        <v>0.16120432356651501</v>
      </c>
      <c r="P45">
        <v>0.14626820090689899</v>
      </c>
      <c r="Q45">
        <v>-9.2653362696271002E-2</v>
      </c>
      <c r="R45">
        <v>2</v>
      </c>
      <c r="S45">
        <v>0.20724428677538601</v>
      </c>
      <c r="T45">
        <v>0.20550036682110001</v>
      </c>
      <c r="U45">
        <v>-8.4148035220688207E-3</v>
      </c>
    </row>
    <row r="46" spans="1:21" x14ac:dyDescent="0.25">
      <c r="A46" t="s">
        <v>67</v>
      </c>
      <c r="B46" t="s">
        <v>90</v>
      </c>
      <c r="C46">
        <v>18</v>
      </c>
      <c r="D46">
        <v>154</v>
      </c>
      <c r="E46">
        <v>5151</v>
      </c>
      <c r="F46">
        <v>3</v>
      </c>
      <c r="G46">
        <v>0.107976502309188</v>
      </c>
      <c r="H46">
        <v>0.12690906022877901</v>
      </c>
      <c r="I46">
        <v>0.17533961106999399</v>
      </c>
      <c r="J46">
        <v>3</v>
      </c>
      <c r="K46">
        <v>0.137631303784849</v>
      </c>
      <c r="L46">
        <v>0.17109512894550999</v>
      </c>
      <c r="M46">
        <v>0.24314108956616801</v>
      </c>
      <c r="N46">
        <v>3</v>
      </c>
      <c r="O46">
        <v>9.5415869494475197E-2</v>
      </c>
      <c r="P46">
        <v>0.10880984642321299</v>
      </c>
      <c r="Q46">
        <v>0.140374730112519</v>
      </c>
      <c r="R46">
        <v>3</v>
      </c>
      <c r="S46">
        <v>6.6340888373933399E-2</v>
      </c>
      <c r="T46">
        <v>6.6237428525357606E-2</v>
      </c>
      <c r="U46">
        <v>-1.5595185881853101E-3</v>
      </c>
    </row>
    <row r="47" spans="1:21" x14ac:dyDescent="0.25">
      <c r="A47" t="s">
        <v>68</v>
      </c>
      <c r="B47" t="s">
        <v>90</v>
      </c>
      <c r="C47">
        <v>18</v>
      </c>
      <c r="D47">
        <v>271</v>
      </c>
      <c r="E47">
        <v>23871</v>
      </c>
      <c r="F47">
        <v>5</v>
      </c>
      <c r="G47">
        <v>0.18692485625829</v>
      </c>
      <c r="H47">
        <v>0.20694930480565499</v>
      </c>
      <c r="I47">
        <v>0.107125659734069</v>
      </c>
      <c r="J47">
        <v>6</v>
      </c>
      <c r="K47">
        <v>0.27184347396226399</v>
      </c>
      <c r="L47">
        <v>0.219718750924948</v>
      </c>
      <c r="M47">
        <v>-0.19174535359473399</v>
      </c>
      <c r="N47">
        <v>6</v>
      </c>
      <c r="O47">
        <v>0.20962182330482501</v>
      </c>
      <c r="P47">
        <v>0.20596011747965601</v>
      </c>
      <c r="Q47">
        <v>-1.7468151776564401E-2</v>
      </c>
      <c r="R47">
        <v>4</v>
      </c>
      <c r="S47">
        <v>0.23715647640638299</v>
      </c>
      <c r="T47">
        <v>0.238016437612495</v>
      </c>
      <c r="U47">
        <v>3.62613418424326E-3</v>
      </c>
    </row>
    <row r="48" spans="1:21" x14ac:dyDescent="0.25">
      <c r="A48" t="s">
        <v>69</v>
      </c>
      <c r="B48" t="s">
        <v>90</v>
      </c>
      <c r="C48">
        <v>18</v>
      </c>
      <c r="D48">
        <v>115</v>
      </c>
      <c r="E48">
        <v>1953</v>
      </c>
      <c r="F48">
        <v>2</v>
      </c>
      <c r="G48">
        <v>0.218436532982104</v>
      </c>
      <c r="H48">
        <v>0.177726426151606</v>
      </c>
      <c r="I48">
        <v>-0.18637041283672401</v>
      </c>
      <c r="J48">
        <v>1</v>
      </c>
      <c r="K48">
        <v>0.17222904165685801</v>
      </c>
      <c r="L48">
        <v>0.17222904165685801</v>
      </c>
      <c r="M48">
        <v>0</v>
      </c>
      <c r="N48">
        <v>1</v>
      </c>
      <c r="O48">
        <v>0.16605566137128799</v>
      </c>
      <c r="P48">
        <v>0.16605566137128799</v>
      </c>
      <c r="Q48">
        <v>0</v>
      </c>
      <c r="R48">
        <v>1</v>
      </c>
      <c r="S48">
        <v>0.172587569620443</v>
      </c>
      <c r="T48">
        <v>0.172587569620443</v>
      </c>
      <c r="U48">
        <v>0</v>
      </c>
    </row>
    <row r="49" spans="1:21" x14ac:dyDescent="0.25">
      <c r="A49" t="s">
        <v>70</v>
      </c>
      <c r="B49" t="s">
        <v>90</v>
      </c>
      <c r="C49">
        <v>18</v>
      </c>
      <c r="D49">
        <v>115</v>
      </c>
      <c r="E49">
        <v>1953</v>
      </c>
      <c r="F49">
        <v>2</v>
      </c>
      <c r="G49">
        <v>0.34901660114771998</v>
      </c>
      <c r="H49">
        <v>0.278317737115167</v>
      </c>
      <c r="I49">
        <v>-0.20256590603445099</v>
      </c>
      <c r="J49">
        <v>2</v>
      </c>
      <c r="K49">
        <v>0.19424548604890299</v>
      </c>
      <c r="L49">
        <v>0.177908910227078</v>
      </c>
      <c r="M49">
        <v>-8.4102730797624606E-2</v>
      </c>
      <c r="N49">
        <v>2</v>
      </c>
      <c r="O49">
        <v>0.218130208358817</v>
      </c>
      <c r="P49">
        <v>0.207248558276168</v>
      </c>
      <c r="Q49">
        <v>-4.9886029837502899E-2</v>
      </c>
      <c r="R49">
        <v>2</v>
      </c>
      <c r="S49">
        <v>0.21181526088209601</v>
      </c>
      <c r="T49">
        <v>0.21239361427328701</v>
      </c>
      <c r="U49">
        <v>2.7304613878261501E-3</v>
      </c>
    </row>
    <row r="50" spans="1:21" x14ac:dyDescent="0.25">
      <c r="A50" t="s">
        <v>71</v>
      </c>
      <c r="B50" t="s">
        <v>90</v>
      </c>
      <c r="C50">
        <v>18</v>
      </c>
      <c r="D50">
        <v>118</v>
      </c>
      <c r="E50">
        <v>2145</v>
      </c>
      <c r="F50">
        <v>2</v>
      </c>
      <c r="G50">
        <v>0.31304672576197301</v>
      </c>
      <c r="H50">
        <v>0.224998602333465</v>
      </c>
      <c r="I50">
        <v>-0.28126192092951602</v>
      </c>
      <c r="J50">
        <v>1</v>
      </c>
      <c r="K50">
        <v>0.18242100817161699</v>
      </c>
      <c r="L50">
        <v>0.18242100817161699</v>
      </c>
      <c r="M50">
        <v>0</v>
      </c>
      <c r="N50">
        <v>1</v>
      </c>
      <c r="O50">
        <v>0.17842229378517099</v>
      </c>
      <c r="P50">
        <v>0.17842229378517099</v>
      </c>
      <c r="Q50">
        <v>0</v>
      </c>
      <c r="R50">
        <v>1</v>
      </c>
      <c r="S50">
        <v>0.22433288204794999</v>
      </c>
      <c r="T50">
        <v>0.22433288204794999</v>
      </c>
      <c r="U50">
        <v>0</v>
      </c>
    </row>
    <row r="51" spans="1:21" x14ac:dyDescent="0.25">
      <c r="A51" t="s">
        <v>72</v>
      </c>
      <c r="B51" t="s">
        <v>91</v>
      </c>
      <c r="C51">
        <v>18</v>
      </c>
      <c r="D51">
        <v>165</v>
      </c>
      <c r="E51">
        <v>6328</v>
      </c>
      <c r="F51">
        <v>2</v>
      </c>
      <c r="G51">
        <v>9.1955920664757995E-2</v>
      </c>
      <c r="H51">
        <v>6.7578733299586094E-2</v>
      </c>
      <c r="I51">
        <v>-0.26509644174020403</v>
      </c>
      <c r="J51">
        <v>2</v>
      </c>
      <c r="K51">
        <v>0.10279610147146399</v>
      </c>
      <c r="L51">
        <v>0.107344624528617</v>
      </c>
      <c r="M51">
        <v>4.4248011277117201E-2</v>
      </c>
      <c r="N51">
        <v>2</v>
      </c>
      <c r="O51">
        <v>8.5764119315898599E-2</v>
      </c>
      <c r="P51">
        <v>8.7812691891963404E-2</v>
      </c>
      <c r="Q51">
        <v>2.3886126184299E-2</v>
      </c>
      <c r="R51">
        <v>3</v>
      </c>
      <c r="S51">
        <v>0.13047354449805501</v>
      </c>
      <c r="T51">
        <v>7.6177932232003101E-2</v>
      </c>
      <c r="U51">
        <v>-0.41614269371567297</v>
      </c>
    </row>
    <row r="52" spans="1:21" x14ac:dyDescent="0.25">
      <c r="A52" t="s">
        <v>73</v>
      </c>
      <c r="B52" t="s">
        <v>91</v>
      </c>
      <c r="C52">
        <v>18</v>
      </c>
      <c r="D52">
        <v>108</v>
      </c>
      <c r="E52">
        <v>1540</v>
      </c>
      <c r="F52">
        <v>1</v>
      </c>
      <c r="G52">
        <v>9.7567284648157095E-3</v>
      </c>
      <c r="H52">
        <v>9.7567284648157095E-3</v>
      </c>
      <c r="I52">
        <v>0</v>
      </c>
      <c r="J52">
        <v>2</v>
      </c>
      <c r="K52">
        <v>4.4256690623264303E-2</v>
      </c>
      <c r="L52">
        <v>4.13701143941438E-2</v>
      </c>
      <c r="M52">
        <v>-6.5223499282684602E-2</v>
      </c>
      <c r="N52">
        <v>2</v>
      </c>
      <c r="O52">
        <v>0.12394189208582999</v>
      </c>
      <c r="P52">
        <v>0.114633296520627</v>
      </c>
      <c r="Q52">
        <v>-7.5104513966566894E-2</v>
      </c>
      <c r="R52">
        <v>2</v>
      </c>
      <c r="S52">
        <v>0.17035374178754301</v>
      </c>
      <c r="T52">
        <v>0.16920503602155901</v>
      </c>
      <c r="U52">
        <v>-6.7430615490529696E-3</v>
      </c>
    </row>
    <row r="53" spans="1:21" x14ac:dyDescent="0.25">
      <c r="A53" t="s">
        <v>74</v>
      </c>
      <c r="B53" t="s">
        <v>91</v>
      </c>
      <c r="C53">
        <v>18</v>
      </c>
      <c r="D53">
        <v>162</v>
      </c>
      <c r="E53">
        <v>5995</v>
      </c>
      <c r="F53">
        <v>3</v>
      </c>
      <c r="G53">
        <v>0.10754458971132599</v>
      </c>
      <c r="H53">
        <v>0.19900695313593</v>
      </c>
      <c r="I53">
        <v>0.85045992243876101</v>
      </c>
      <c r="J53">
        <v>2</v>
      </c>
      <c r="K53">
        <v>0.154017699168912</v>
      </c>
      <c r="L53">
        <v>0.175081632564906</v>
      </c>
      <c r="M53">
        <v>0.136763070151394</v>
      </c>
      <c r="N53">
        <v>2</v>
      </c>
      <c r="O53">
        <v>0.119077430061811</v>
      </c>
      <c r="P53">
        <v>0.129373463514558</v>
      </c>
      <c r="Q53">
        <v>8.6465029077316902E-2</v>
      </c>
      <c r="R53">
        <v>2</v>
      </c>
      <c r="S53">
        <v>0.176828361524413</v>
      </c>
      <c r="T53">
        <v>0.174966000761033</v>
      </c>
      <c r="U53">
        <v>-1.0532025221090899E-2</v>
      </c>
    </row>
    <row r="54" spans="1:21" x14ac:dyDescent="0.25">
      <c r="A54" t="s">
        <v>75</v>
      </c>
      <c r="B54" t="s">
        <v>91</v>
      </c>
      <c r="C54">
        <v>18</v>
      </c>
      <c r="D54">
        <v>116</v>
      </c>
      <c r="E54">
        <v>2016</v>
      </c>
      <c r="F54">
        <v>1</v>
      </c>
      <c r="G54">
        <v>0.32585123140990102</v>
      </c>
      <c r="H54">
        <v>0.32585123140990102</v>
      </c>
      <c r="I54">
        <v>0</v>
      </c>
      <c r="J54">
        <v>2</v>
      </c>
      <c r="K54">
        <v>5.9542336458493897E-2</v>
      </c>
      <c r="L54">
        <v>5.5843749269743198E-2</v>
      </c>
      <c r="M54">
        <v>-6.2116930720864397E-2</v>
      </c>
      <c r="N54">
        <v>2</v>
      </c>
      <c r="O54">
        <v>7.3066463822524602E-2</v>
      </c>
      <c r="P54">
        <v>8.7108207752399996E-2</v>
      </c>
      <c r="Q54">
        <v>0.19217768583932299</v>
      </c>
      <c r="R54">
        <v>1</v>
      </c>
      <c r="S54">
        <v>0.20250621966076701</v>
      </c>
      <c r="T54">
        <v>0.20250621966076701</v>
      </c>
      <c r="U54">
        <v>0</v>
      </c>
    </row>
    <row r="55" spans="1:21" x14ac:dyDescent="0.25">
      <c r="A55" t="s">
        <v>76</v>
      </c>
      <c r="B55" t="s">
        <v>91</v>
      </c>
      <c r="C55">
        <v>18</v>
      </c>
      <c r="D55">
        <v>181</v>
      </c>
      <c r="E55">
        <v>8256</v>
      </c>
      <c r="F55">
        <v>4</v>
      </c>
      <c r="G55">
        <v>0.151463235166372</v>
      </c>
      <c r="H55">
        <v>0.14690703078772699</v>
      </c>
      <c r="I55">
        <v>-3.0081256178373698E-2</v>
      </c>
      <c r="J55">
        <v>3</v>
      </c>
      <c r="K55">
        <v>0.41168513737944401</v>
      </c>
      <c r="L55">
        <v>0.41679091951931502</v>
      </c>
      <c r="M55">
        <v>1.24021531901083E-2</v>
      </c>
      <c r="N55">
        <v>4</v>
      </c>
      <c r="O55">
        <v>0.248867887156977</v>
      </c>
      <c r="P55">
        <v>0.36572965136681101</v>
      </c>
      <c r="Q55">
        <v>0.46957349758879102</v>
      </c>
      <c r="R55">
        <v>4</v>
      </c>
      <c r="S55">
        <v>0.24296302614748599</v>
      </c>
      <c r="T55">
        <v>0.25162994231289598</v>
      </c>
      <c r="U55">
        <v>3.5671749330902898E-2</v>
      </c>
    </row>
    <row r="56" spans="1:21" x14ac:dyDescent="0.25">
      <c r="A56" t="s">
        <v>77</v>
      </c>
      <c r="B56" t="s">
        <v>92</v>
      </c>
      <c r="C56">
        <v>18</v>
      </c>
      <c r="D56">
        <v>118</v>
      </c>
      <c r="E56">
        <v>2145</v>
      </c>
      <c r="F56">
        <v>2</v>
      </c>
      <c r="G56">
        <v>0.225620263016205</v>
      </c>
      <c r="H56">
        <v>0.163107038826553</v>
      </c>
      <c r="I56">
        <v>-0.27707273874227201</v>
      </c>
      <c r="J56">
        <v>2</v>
      </c>
      <c r="K56">
        <v>0.18944542108434101</v>
      </c>
      <c r="L56">
        <v>0.21817326363143</v>
      </c>
      <c r="M56">
        <v>0.15164178887332</v>
      </c>
      <c r="N56">
        <v>2</v>
      </c>
      <c r="O56">
        <v>0.17871044986759901</v>
      </c>
      <c r="P56">
        <v>0.15989454120128599</v>
      </c>
      <c r="Q56">
        <v>-0.105287120480382</v>
      </c>
      <c r="R56">
        <v>2</v>
      </c>
      <c r="S56">
        <v>0.18338299523301399</v>
      </c>
      <c r="T56">
        <v>0.20295083585926399</v>
      </c>
      <c r="U56">
        <v>0.106704771625013</v>
      </c>
    </row>
    <row r="57" spans="1:21" x14ac:dyDescent="0.25">
      <c r="A57" t="s">
        <v>78</v>
      </c>
      <c r="B57" t="s">
        <v>92</v>
      </c>
      <c r="C57">
        <v>18</v>
      </c>
      <c r="D57">
        <v>103</v>
      </c>
      <c r="E57">
        <v>1275</v>
      </c>
      <c r="F57">
        <v>2</v>
      </c>
      <c r="G57">
        <v>0.28560238490926199</v>
      </c>
      <c r="H57">
        <v>0.198868820676049</v>
      </c>
      <c r="I57">
        <v>-0.30368641445612898</v>
      </c>
      <c r="J57">
        <v>2</v>
      </c>
      <c r="K57">
        <v>0.20044168959277001</v>
      </c>
      <c r="L57">
        <v>0.27157451917680703</v>
      </c>
      <c r="M57">
        <v>0.35488041299469503</v>
      </c>
      <c r="N57">
        <v>2</v>
      </c>
      <c r="O57">
        <v>0.150924129354467</v>
      </c>
      <c r="P57">
        <v>0.19033546284018099</v>
      </c>
      <c r="Q57">
        <v>0.26113341620245401</v>
      </c>
      <c r="R57">
        <v>2</v>
      </c>
      <c r="S57">
        <v>0.119750294239811</v>
      </c>
      <c r="T57">
        <v>0.120403857073541</v>
      </c>
      <c r="U57">
        <v>5.4577138025331297E-3</v>
      </c>
    </row>
    <row r="58" spans="1:21" x14ac:dyDescent="0.25">
      <c r="A58" t="s">
        <v>79</v>
      </c>
      <c r="B58" t="s">
        <v>92</v>
      </c>
      <c r="C58">
        <v>18</v>
      </c>
      <c r="D58">
        <v>114</v>
      </c>
      <c r="E58">
        <v>1891</v>
      </c>
      <c r="F58">
        <v>2</v>
      </c>
      <c r="G58">
        <v>5.93223084178153E-2</v>
      </c>
      <c r="H58">
        <v>9.0708632175600004E-2</v>
      </c>
      <c r="I58">
        <v>0.52908129496118705</v>
      </c>
      <c r="J58">
        <v>2</v>
      </c>
      <c r="K58">
        <v>4.9318628427380502E-2</v>
      </c>
      <c r="L58">
        <v>4.5778814856007502E-2</v>
      </c>
      <c r="M58">
        <v>-7.1774371758640099E-2</v>
      </c>
      <c r="N58">
        <v>2</v>
      </c>
      <c r="O58">
        <v>8.4726898831047004E-2</v>
      </c>
      <c r="P58">
        <v>8.2996684412648597E-2</v>
      </c>
      <c r="Q58">
        <v>-2.0421075741821601E-2</v>
      </c>
      <c r="R58">
        <v>2</v>
      </c>
      <c r="S58">
        <v>0.13454766824096101</v>
      </c>
      <c r="T58">
        <v>0.13970482789687499</v>
      </c>
      <c r="U58">
        <v>3.8329610043319903E-2</v>
      </c>
    </row>
    <row r="59" spans="1:21" x14ac:dyDescent="0.25">
      <c r="A59" t="s">
        <v>80</v>
      </c>
      <c r="B59" t="s">
        <v>92</v>
      </c>
      <c r="C59">
        <v>18</v>
      </c>
      <c r="D59">
        <v>167</v>
      </c>
      <c r="E59">
        <v>6555</v>
      </c>
      <c r="F59">
        <v>3</v>
      </c>
      <c r="G59">
        <v>0.39404642245863297</v>
      </c>
      <c r="H59">
        <v>0.41135239606989499</v>
      </c>
      <c r="I59">
        <v>4.3918616246487303E-2</v>
      </c>
      <c r="J59">
        <v>3</v>
      </c>
      <c r="K59">
        <v>0.21352312012340699</v>
      </c>
      <c r="L59">
        <v>0.19261579973767501</v>
      </c>
      <c r="M59">
        <v>-9.7915955769322605E-2</v>
      </c>
      <c r="N59">
        <v>4</v>
      </c>
      <c r="O59">
        <v>0.24086001219059799</v>
      </c>
      <c r="P59">
        <v>0.21781041217473901</v>
      </c>
      <c r="Q59">
        <v>-9.5697080666172302E-2</v>
      </c>
      <c r="R59">
        <v>4</v>
      </c>
      <c r="S59">
        <v>0.22122756089689299</v>
      </c>
      <c r="T59">
        <v>0.22865588120994301</v>
      </c>
      <c r="U59">
        <v>3.3577734541456697E-2</v>
      </c>
    </row>
    <row r="60" spans="1:21" x14ac:dyDescent="0.25">
      <c r="A60" t="s">
        <v>81</v>
      </c>
      <c r="B60" t="s">
        <v>92</v>
      </c>
      <c r="C60">
        <v>18</v>
      </c>
      <c r="D60">
        <v>106</v>
      </c>
      <c r="E60">
        <v>1431</v>
      </c>
      <c r="F60">
        <v>2</v>
      </c>
      <c r="G60">
        <v>0.10031000663171</v>
      </c>
      <c r="H60">
        <v>9.2008892245980398E-2</v>
      </c>
      <c r="I60">
        <v>-8.2754599112008304E-2</v>
      </c>
      <c r="J60">
        <v>1</v>
      </c>
      <c r="K60">
        <v>0.18900463992459299</v>
      </c>
      <c r="L60">
        <v>0.18900463992459299</v>
      </c>
      <c r="M60">
        <v>0</v>
      </c>
      <c r="N60">
        <v>1</v>
      </c>
      <c r="O60">
        <v>0.164964275657008</v>
      </c>
      <c r="P60">
        <v>0.164964275657008</v>
      </c>
      <c r="Q60">
        <v>0</v>
      </c>
      <c r="R60">
        <v>1</v>
      </c>
      <c r="S60">
        <v>0.15330414641781101</v>
      </c>
      <c r="T60">
        <v>0.15330414641781101</v>
      </c>
      <c r="U60">
        <v>0</v>
      </c>
    </row>
    <row r="61" spans="1:21" x14ac:dyDescent="0.25">
      <c r="A61" t="s">
        <v>82</v>
      </c>
      <c r="B61" t="s">
        <v>93</v>
      </c>
      <c r="C61">
        <v>18</v>
      </c>
      <c r="D61">
        <v>122</v>
      </c>
      <c r="E61">
        <v>2415</v>
      </c>
      <c r="F61">
        <v>1</v>
      </c>
      <c r="G61">
        <v>0.210822528817392</v>
      </c>
      <c r="H61">
        <v>0.210822528817392</v>
      </c>
      <c r="I61">
        <v>0</v>
      </c>
      <c r="J61">
        <v>2</v>
      </c>
      <c r="K61">
        <v>5.4435467573837201E-2</v>
      </c>
      <c r="L61">
        <v>5.5646680958742999E-2</v>
      </c>
      <c r="M61">
        <v>2.2250445139703499E-2</v>
      </c>
      <c r="N61">
        <v>1</v>
      </c>
      <c r="O61">
        <v>0.202980439941504</v>
      </c>
      <c r="P61">
        <v>0.202980439941504</v>
      </c>
      <c r="Q61">
        <v>0</v>
      </c>
      <c r="R61">
        <v>2</v>
      </c>
      <c r="S61">
        <v>0.19386207349270401</v>
      </c>
      <c r="T61">
        <v>0.23690684286612701</v>
      </c>
      <c r="U61">
        <v>0.222038115026364</v>
      </c>
    </row>
    <row r="62" spans="1:21" x14ac:dyDescent="0.25">
      <c r="A62" t="s">
        <v>83</v>
      </c>
      <c r="B62" t="s">
        <v>93</v>
      </c>
      <c r="C62">
        <v>18</v>
      </c>
      <c r="D62">
        <v>122</v>
      </c>
      <c r="E62">
        <v>2415</v>
      </c>
      <c r="F62">
        <v>2</v>
      </c>
      <c r="G62">
        <v>0.14385144659905599</v>
      </c>
      <c r="H62">
        <v>4.1568893482252803E-2</v>
      </c>
      <c r="I62">
        <v>-0.71102902011048996</v>
      </c>
      <c r="J62">
        <v>1</v>
      </c>
      <c r="K62">
        <v>9.8614704942561193E-2</v>
      </c>
      <c r="L62">
        <v>9.8614704942561193E-2</v>
      </c>
      <c r="M62">
        <v>0</v>
      </c>
      <c r="N62">
        <v>2</v>
      </c>
      <c r="O62">
        <v>0.139175560212947</v>
      </c>
      <c r="P62">
        <v>0.130884130127498</v>
      </c>
      <c r="Q62">
        <v>-5.9575331134018097E-2</v>
      </c>
      <c r="R62">
        <v>2</v>
      </c>
      <c r="S62">
        <v>0.17366375878160401</v>
      </c>
      <c r="T62">
        <v>0.17458507724788899</v>
      </c>
      <c r="U62">
        <v>5.3051855651884798E-3</v>
      </c>
    </row>
    <row r="63" spans="1:21" x14ac:dyDescent="0.25">
      <c r="A63" t="s">
        <v>84</v>
      </c>
      <c r="B63" t="s">
        <v>93</v>
      </c>
      <c r="C63">
        <v>18</v>
      </c>
      <c r="D63">
        <v>338</v>
      </c>
      <c r="E63">
        <v>40755</v>
      </c>
      <c r="F63">
        <v>6</v>
      </c>
      <c r="G63">
        <v>0.25010562482704601</v>
      </c>
      <c r="H63">
        <v>0.34130674820574097</v>
      </c>
      <c r="I63">
        <v>0.36465042896081401</v>
      </c>
      <c r="J63">
        <v>6</v>
      </c>
      <c r="K63">
        <v>0.271465375432349</v>
      </c>
      <c r="L63">
        <v>0.30682670481952001</v>
      </c>
      <c r="M63">
        <v>0.130260919392955</v>
      </c>
      <c r="N63">
        <v>6</v>
      </c>
      <c r="O63">
        <v>0.27272803095412801</v>
      </c>
      <c r="P63">
        <v>0.28156769888364103</v>
      </c>
      <c r="Q63">
        <v>3.2412025630763203E-2</v>
      </c>
      <c r="R63">
        <v>5</v>
      </c>
      <c r="S63">
        <v>0.20476383528721101</v>
      </c>
      <c r="T63">
        <v>0.18586287866259199</v>
      </c>
      <c r="U63">
        <v>-9.2306127193344106E-2</v>
      </c>
    </row>
    <row r="64" spans="1:21" x14ac:dyDescent="0.25">
      <c r="A64" t="s">
        <v>85</v>
      </c>
      <c r="B64" t="s">
        <v>93</v>
      </c>
      <c r="C64">
        <v>18</v>
      </c>
      <c r="D64">
        <v>122</v>
      </c>
      <c r="E64">
        <v>2415</v>
      </c>
      <c r="F64">
        <v>2</v>
      </c>
      <c r="G64">
        <v>0.33494130795169602</v>
      </c>
      <c r="H64">
        <v>0.27595060840121</v>
      </c>
      <c r="I64">
        <v>-0.17612249713610301</v>
      </c>
      <c r="J64">
        <v>2</v>
      </c>
      <c r="K64">
        <v>7.6094124897931797E-2</v>
      </c>
      <c r="L64">
        <v>8.6839954211987494E-2</v>
      </c>
      <c r="M64">
        <v>0.14121759503075401</v>
      </c>
      <c r="N64">
        <v>2</v>
      </c>
      <c r="O64">
        <v>8.32132834423122E-2</v>
      </c>
      <c r="P64">
        <v>6.5907948544893402E-2</v>
      </c>
      <c r="Q64">
        <v>-0.20796361087488799</v>
      </c>
      <c r="R64">
        <v>2</v>
      </c>
      <c r="S64">
        <v>0.167311901967407</v>
      </c>
      <c r="T64">
        <v>0.17636698167461101</v>
      </c>
      <c r="U64">
        <v>5.4120953744028998E-2</v>
      </c>
    </row>
    <row r="65" spans="1:21" x14ac:dyDescent="0.25">
      <c r="A65" t="s">
        <v>86</v>
      </c>
      <c r="B65" t="s">
        <v>93</v>
      </c>
      <c r="C65">
        <v>18</v>
      </c>
      <c r="D65">
        <v>194</v>
      </c>
      <c r="E65">
        <v>10011</v>
      </c>
      <c r="F65">
        <v>3</v>
      </c>
      <c r="G65">
        <v>0.17826289375419799</v>
      </c>
      <c r="H65">
        <v>0.151775591526493</v>
      </c>
      <c r="I65">
        <v>-0.148585617959439</v>
      </c>
      <c r="J65">
        <v>4</v>
      </c>
      <c r="K65">
        <v>0.164652519757884</v>
      </c>
      <c r="L65">
        <v>0.25371497544685201</v>
      </c>
      <c r="M65">
        <v>0.54091158653345395</v>
      </c>
      <c r="N65">
        <v>3</v>
      </c>
      <c r="O65">
        <v>0.18175104110860299</v>
      </c>
      <c r="P65">
        <v>0.25545525809480801</v>
      </c>
      <c r="Q65">
        <v>0.40552294246371701</v>
      </c>
      <c r="R65">
        <v>2</v>
      </c>
      <c r="S65">
        <v>0.113080269852118</v>
      </c>
      <c r="T65">
        <v>0.114753759074084</v>
      </c>
      <c r="U65">
        <v>1.47991265333457E-2</v>
      </c>
    </row>
    <row r="67" spans="1:21" x14ac:dyDescent="0.25">
      <c r="A67" t="s">
        <v>87</v>
      </c>
      <c r="I67">
        <f>AVERAGE(I36:I65)</f>
        <v>6.1137491623594845E-2</v>
      </c>
      <c r="M67">
        <f>AVERAGE(M36:M65)</f>
        <v>8.4869733273606793E-2</v>
      </c>
      <c r="Q67">
        <f>AVERAGE(Q36:Q65)</f>
        <v>4.2894106117533033E-2</v>
      </c>
      <c r="U67">
        <f>AVERAGE(U36:U65)</f>
        <v>-2.9504756582834843E-2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Maniezzo</dc:creator>
  <cp:lastModifiedBy>Vittorio Maniezzo</cp:lastModifiedBy>
  <dcterms:created xsi:type="dcterms:W3CDTF">2026-09-07T07:05:49Z</dcterms:created>
  <dcterms:modified xsi:type="dcterms:W3CDTF">2026-09-08T07:29:21Z</dcterms:modified>
</cp:coreProperties>
</file>