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segmentation\forecast\data\"/>
    </mc:Choice>
  </mc:AlternateContent>
  <xr:revisionPtr revIDLastSave="0" documentId="13_ncr:9_{BE4E3028-871E-457C-812B-6A13F500C8EA}" xr6:coauthVersionLast="47" xr6:coauthVersionMax="47" xr10:uidLastSave="{00000000-0000-0000-0000-000000000000}"/>
  <bookViews>
    <workbookView xWindow="1128" yWindow="336" windowWidth="20388" windowHeight="13644" xr2:uid="{192F7D2B-2129-449D-9D9C-AE4486BF1831}"/>
  </bookViews>
  <sheets>
    <sheet name="results_18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0" i="1" s="1"/>
  <c r="T25" i="1"/>
  <c r="T26" i="1"/>
  <c r="T27" i="1"/>
  <c r="T28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30" i="1" s="1"/>
  <c r="L19" i="1"/>
  <c r="L20" i="1"/>
  <c r="L21" i="1"/>
  <c r="L22" i="1"/>
  <c r="L23" i="1"/>
  <c r="L24" i="1"/>
  <c r="L25" i="1"/>
  <c r="L26" i="1"/>
  <c r="L27" i="1"/>
  <c r="L28" i="1"/>
  <c r="L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30" i="1" s="1"/>
  <c r="H20" i="1"/>
  <c r="H21" i="1"/>
  <c r="H22" i="1"/>
  <c r="H23" i="1"/>
  <c r="H24" i="1"/>
  <c r="H25" i="1"/>
  <c r="H26" i="1"/>
  <c r="H27" i="1"/>
  <c r="H28" i="1"/>
  <c r="H2" i="1"/>
  <c r="P30" i="1"/>
</calcChain>
</file>

<file path=xl/sharedStrings.xml><?xml version="1.0" encoding="utf-8"?>
<sst xmlns="http://schemas.openxmlformats.org/spreadsheetml/2006/main" count="48" uniqueCount="48">
  <si>
    <t>name</t>
  </si>
  <si>
    <t>npred</t>
  </si>
  <si>
    <t>npoints</t>
  </si>
  <si>
    <t>nsegm</t>
  </si>
  <si>
    <t>nIntAR</t>
  </si>
  <si>
    <t>RMSEBaseAR</t>
  </si>
  <si>
    <t>RMSEForeAR</t>
  </si>
  <si>
    <t>deltaAR</t>
  </si>
  <si>
    <t>nIntHW</t>
  </si>
  <si>
    <t>RMSEBaseHW</t>
  </si>
  <si>
    <t>RMSEForeHW</t>
  </si>
  <si>
    <t>deltaHW</t>
  </si>
  <si>
    <t>nIntTh</t>
  </si>
  <si>
    <t>RMSEBaseTh</t>
  </si>
  <si>
    <t>RMSEForeTH</t>
  </si>
  <si>
    <t>deltaTh</t>
  </si>
  <si>
    <t>nIntRF</t>
  </si>
  <si>
    <t>RMSEBaseRF</t>
  </si>
  <si>
    <t>RMSEForeRF</t>
  </si>
  <si>
    <t>deltaRF</t>
  </si>
  <si>
    <t>N2701</t>
  </si>
  <si>
    <t>N2737</t>
  </si>
  <si>
    <t>N2743</t>
  </si>
  <si>
    <t>N2688</t>
  </si>
  <si>
    <t>N2721</t>
  </si>
  <si>
    <t>N2841</t>
  </si>
  <si>
    <t>N2554</t>
  </si>
  <si>
    <t>N2615</t>
  </si>
  <si>
    <t>N2522</t>
  </si>
  <si>
    <t>N2544</t>
  </si>
  <si>
    <t>N2208</t>
  </si>
  <si>
    <t>N2186</t>
  </si>
  <si>
    <t>N1979</t>
  </si>
  <si>
    <t>N2130</t>
  </si>
  <si>
    <t>N2144</t>
  </si>
  <si>
    <t>N2465</t>
  </si>
  <si>
    <t>N2511</t>
  </si>
  <si>
    <t>N2257</t>
  </si>
  <si>
    <t>N2355</t>
  </si>
  <si>
    <t>N2373</t>
  </si>
  <si>
    <t>N1861</t>
  </si>
  <si>
    <t>N1747</t>
  </si>
  <si>
    <t>N1790</t>
  </si>
  <si>
    <t>N1789</t>
  </si>
  <si>
    <t>N1751</t>
  </si>
  <si>
    <t>N2780</t>
  </si>
  <si>
    <t>N2783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</si>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</sst>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10" xfId="0" applyBorder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E083C-CCB6-4A5B-8F15-4C8AC249FD9D}">
  <dimension ref="A1:T30"/>
  <sheetViews>
    <sheetView tabSelected="1" topLeftCell="C1" workbookViewId="0">
      <selection activeCell="O28" sqref="O28"/>
    </sheetView>
  </sheetViews>
  <sheetFormatPr defaultRowHeight="15.6" x14ac:dyDescent="0.3"/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s="1" t="s">
        <v>12</v>
      </c>
      <c r="N1" t="s">
        <v>13</v>
      </c>
      <c r="O1" t="s">
        <v>14</v>
      </c>
      <c r="P1" t="s">
        <v>15</v>
      </c>
      <c r="Q1" s="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20</v>
      </c>
      <c r="B2">
        <v>18</v>
      </c>
      <c r="C2">
        <v>135</v>
      </c>
      <c r="D2">
        <v>3403</v>
      </c>
      <c r="E2" s="1">
        <v>2</v>
      </c>
      <c r="F2" s="2">
        <v>6.00480414762899E-2</v>
      </c>
      <c r="G2" s="2">
        <v>7.3558342823743905E-2</v>
      </c>
      <c r="H2" s="2">
        <f>(F2-G2)/F2</f>
        <v>-0.22499154036170485</v>
      </c>
      <c r="I2" s="1">
        <v>2</v>
      </c>
      <c r="J2" s="2">
        <v>4.2294164862910003E-2</v>
      </c>
      <c r="K2" s="2">
        <v>4.8572845252632502E-2</v>
      </c>
      <c r="L2" s="2">
        <f>(J2-K2)/J2</f>
        <v>-0.14845263903599637</v>
      </c>
      <c r="M2" s="1">
        <v>2</v>
      </c>
      <c r="N2" s="2">
        <v>4.6616462495495503E-2</v>
      </c>
      <c r="O2" s="2">
        <v>6.9628024192337004E-2</v>
      </c>
      <c r="P2" s="2">
        <f>(N2-O2)/N2</f>
        <v>-0.49363594886817252</v>
      </c>
      <c r="Q2" s="1">
        <v>1</v>
      </c>
      <c r="R2" s="2">
        <v>8.7585424228204603E-2</v>
      </c>
      <c r="S2" s="2">
        <v>8.7585424228204603E-2</v>
      </c>
      <c r="T2" s="2">
        <f>(R2-S2)/R2</f>
        <v>0</v>
      </c>
    </row>
    <row r="3" spans="1:20" x14ac:dyDescent="0.3">
      <c r="A3" t="s">
        <v>21</v>
      </c>
      <c r="B3">
        <v>18</v>
      </c>
      <c r="C3">
        <v>134</v>
      </c>
      <c r="D3">
        <v>3321</v>
      </c>
      <c r="E3" s="1">
        <v>2</v>
      </c>
      <c r="F3" s="2">
        <v>5.0093212931646203E-2</v>
      </c>
      <c r="G3" s="2">
        <v>0.12485351280266101</v>
      </c>
      <c r="H3" s="2">
        <f t="shared" ref="H3:H28" si="0">(F3-G3)/F3</f>
        <v>-1.4924237335909685</v>
      </c>
      <c r="I3" s="1">
        <v>3</v>
      </c>
      <c r="J3" s="2">
        <v>5.8272636333892701E-2</v>
      </c>
      <c r="K3" s="2">
        <v>0.21619002427869699</v>
      </c>
      <c r="L3" s="2">
        <f t="shared" ref="L3:L28" si="1">(J3-K3)/J3</f>
        <v>-2.7099750050772271</v>
      </c>
      <c r="M3" s="1">
        <v>1</v>
      </c>
      <c r="N3" s="2">
        <v>0.13322141810312599</v>
      </c>
      <c r="O3" s="2">
        <v>0.13322141810312599</v>
      </c>
      <c r="P3" s="2">
        <f t="shared" ref="P3:P28" si="2">(N3-O3)/N3</f>
        <v>0</v>
      </c>
      <c r="Q3" s="1">
        <v>3</v>
      </c>
      <c r="R3" s="2">
        <v>0.17006353084730599</v>
      </c>
      <c r="S3" s="2">
        <v>0.17004158927801599</v>
      </c>
      <c r="T3" s="2">
        <f t="shared" ref="T3:T28" si="3">(R3-S3)/R3</f>
        <v>1.2901983853141406E-4</v>
      </c>
    </row>
    <row r="4" spans="1:20" x14ac:dyDescent="0.3">
      <c r="A4" t="s">
        <v>22</v>
      </c>
      <c r="B4">
        <v>18</v>
      </c>
      <c r="C4">
        <v>134</v>
      </c>
      <c r="D4">
        <v>3321</v>
      </c>
      <c r="E4" s="1">
        <v>2</v>
      </c>
      <c r="F4" s="2">
        <v>0.155569394212412</v>
      </c>
      <c r="G4" s="2">
        <v>0.14439158379070299</v>
      </c>
      <c r="H4" s="2">
        <f t="shared" si="0"/>
        <v>7.1850960648770057E-2</v>
      </c>
      <c r="I4" s="1">
        <v>2</v>
      </c>
      <c r="J4" s="2">
        <v>0.14269466391373001</v>
      </c>
      <c r="K4" s="2">
        <v>0.131677441776235</v>
      </c>
      <c r="L4" s="2">
        <f t="shared" si="1"/>
        <v>7.720836810096679E-2</v>
      </c>
      <c r="M4" s="1">
        <v>2</v>
      </c>
      <c r="N4" s="2">
        <v>0.17691449551541499</v>
      </c>
      <c r="O4" s="2">
        <v>0.16713833037594999</v>
      </c>
      <c r="P4" s="2">
        <f t="shared" si="2"/>
        <v>5.5259265844686975E-2</v>
      </c>
      <c r="Q4" s="1">
        <v>2</v>
      </c>
      <c r="R4" s="2">
        <v>0.208381525211841</v>
      </c>
      <c r="S4" s="2">
        <v>0.206801334336878</v>
      </c>
      <c r="T4" s="2">
        <f t="shared" si="3"/>
        <v>7.5831620550649839E-3</v>
      </c>
    </row>
    <row r="5" spans="1:20" x14ac:dyDescent="0.3">
      <c r="A5" t="s">
        <v>23</v>
      </c>
      <c r="B5">
        <v>18</v>
      </c>
      <c r="C5">
        <v>135</v>
      </c>
      <c r="D5">
        <v>3403</v>
      </c>
      <c r="E5" s="1">
        <v>2</v>
      </c>
      <c r="F5" s="2">
        <v>6.5505770167521404E-2</v>
      </c>
      <c r="G5" s="2">
        <v>6.6500680487682096E-2</v>
      </c>
      <c r="H5" s="2">
        <f t="shared" si="0"/>
        <v>-1.5188132551015796E-2</v>
      </c>
      <c r="I5" s="1">
        <v>3</v>
      </c>
      <c r="J5" s="2">
        <v>9.4147521873626794E-2</v>
      </c>
      <c r="K5" s="2">
        <v>8.0011143061414797E-2</v>
      </c>
      <c r="L5" s="2">
        <f t="shared" si="1"/>
        <v>0.15015136384776123</v>
      </c>
      <c r="M5" s="1">
        <v>3</v>
      </c>
      <c r="N5" s="2">
        <v>9.0493909408033299E-2</v>
      </c>
      <c r="O5" s="2">
        <v>7.6343596727114604E-2</v>
      </c>
      <c r="P5" s="2">
        <f t="shared" si="2"/>
        <v>0.15636756963516207</v>
      </c>
      <c r="Q5" s="1">
        <v>2</v>
      </c>
      <c r="R5" s="2">
        <v>0.17893206187100599</v>
      </c>
      <c r="S5" s="2">
        <v>0.15101047796503</v>
      </c>
      <c r="T5" s="2">
        <f t="shared" si="3"/>
        <v>0.15604572827258287</v>
      </c>
    </row>
    <row r="6" spans="1:20" x14ac:dyDescent="0.3">
      <c r="A6" t="s">
        <v>24</v>
      </c>
      <c r="B6">
        <v>18</v>
      </c>
      <c r="C6">
        <v>135</v>
      </c>
      <c r="D6">
        <v>3403</v>
      </c>
      <c r="E6" s="1">
        <v>2</v>
      </c>
      <c r="F6" s="2">
        <v>4.4149338371596202E-2</v>
      </c>
      <c r="G6" s="2">
        <v>4.4605225928406302E-2</v>
      </c>
      <c r="H6" s="2">
        <f t="shared" si="0"/>
        <v>-1.0326033721569849E-2</v>
      </c>
      <c r="I6" s="1">
        <v>2</v>
      </c>
      <c r="J6" s="2">
        <v>2.1756826305594602E-2</v>
      </c>
      <c r="K6" s="2">
        <v>1.71765958426007E-2</v>
      </c>
      <c r="L6" s="2">
        <f t="shared" si="1"/>
        <v>0.21051923652192461</v>
      </c>
      <c r="M6" s="1">
        <v>2</v>
      </c>
      <c r="N6" s="2">
        <v>6.21277819002009E-2</v>
      </c>
      <c r="O6" s="2">
        <v>5.6791416044966403E-2</v>
      </c>
      <c r="P6" s="2">
        <f t="shared" si="2"/>
        <v>8.5893390879567863E-2</v>
      </c>
      <c r="Q6" s="1">
        <v>2</v>
      </c>
      <c r="R6" s="2">
        <v>8.8970096709436994E-2</v>
      </c>
      <c r="S6" s="2">
        <v>8.4193410894941104E-2</v>
      </c>
      <c r="T6" s="2">
        <f t="shared" si="3"/>
        <v>5.3688666093011345E-2</v>
      </c>
    </row>
    <row r="7" spans="1:20" x14ac:dyDescent="0.3">
      <c r="A7" t="s">
        <v>25</v>
      </c>
      <c r="B7">
        <v>18</v>
      </c>
      <c r="C7">
        <v>104</v>
      </c>
      <c r="D7">
        <v>1326</v>
      </c>
      <c r="E7" s="1">
        <v>1</v>
      </c>
      <c r="F7" s="2">
        <v>9.2542106930597196E-2</v>
      </c>
      <c r="G7" s="2">
        <v>9.2542106930597196E-2</v>
      </c>
      <c r="H7" s="2">
        <f t="shared" si="0"/>
        <v>0</v>
      </c>
      <c r="I7" s="1">
        <v>2</v>
      </c>
      <c r="J7" s="2">
        <v>6.5638899578298895E-2</v>
      </c>
      <c r="K7" s="2">
        <v>6.5617166475559194E-2</v>
      </c>
      <c r="L7" s="2">
        <f t="shared" si="1"/>
        <v>3.3110096115759527E-4</v>
      </c>
      <c r="M7" s="1">
        <v>1</v>
      </c>
      <c r="N7" s="2">
        <v>6.5869385380165194E-2</v>
      </c>
      <c r="O7" s="2">
        <v>6.5869385380165194E-2</v>
      </c>
      <c r="P7" s="2">
        <f t="shared" si="2"/>
        <v>0</v>
      </c>
      <c r="Q7" s="1">
        <v>2</v>
      </c>
      <c r="R7" s="2">
        <v>0.112677705504026</v>
      </c>
      <c r="S7" s="2">
        <v>0.10931958465531801</v>
      </c>
      <c r="T7" s="2">
        <f t="shared" si="3"/>
        <v>2.9802886326860928E-2</v>
      </c>
    </row>
    <row r="8" spans="1:20" x14ac:dyDescent="0.3">
      <c r="A8" t="s">
        <v>26</v>
      </c>
      <c r="B8">
        <v>18</v>
      </c>
      <c r="C8">
        <v>133</v>
      </c>
      <c r="D8">
        <v>3240</v>
      </c>
      <c r="E8" s="1">
        <v>2</v>
      </c>
      <c r="F8" s="2">
        <v>3.3454044876783801E-2</v>
      </c>
      <c r="G8" s="2">
        <v>6.2429264806542997E-2</v>
      </c>
      <c r="H8" s="2">
        <f t="shared" si="0"/>
        <v>-0.86612007715297867</v>
      </c>
      <c r="I8" s="1">
        <v>2</v>
      </c>
      <c r="J8" s="2">
        <v>8.4823784376958894E-2</v>
      </c>
      <c r="K8" s="2">
        <v>8.5191468118731503E-2</v>
      </c>
      <c r="L8" s="2">
        <f t="shared" si="1"/>
        <v>-4.3346774076786533E-3</v>
      </c>
      <c r="M8" s="1">
        <v>2</v>
      </c>
      <c r="N8" s="2">
        <v>2.7544073261283698E-2</v>
      </c>
      <c r="O8" s="2">
        <v>4.9386452939590701E-2</v>
      </c>
      <c r="P8" s="2">
        <f t="shared" si="2"/>
        <v>-0.7929974434467153</v>
      </c>
      <c r="Q8" s="1">
        <v>1</v>
      </c>
      <c r="R8" s="2">
        <v>6.7556225526018795E-2</v>
      </c>
      <c r="S8" s="2">
        <v>6.7556225526018795E-2</v>
      </c>
      <c r="T8" s="2">
        <f t="shared" si="3"/>
        <v>0</v>
      </c>
    </row>
    <row r="9" spans="1:20" x14ac:dyDescent="0.3">
      <c r="A9" t="s">
        <v>27</v>
      </c>
      <c r="B9">
        <v>18</v>
      </c>
      <c r="C9">
        <v>134</v>
      </c>
      <c r="D9">
        <v>3321</v>
      </c>
      <c r="E9" s="1">
        <v>1</v>
      </c>
      <c r="F9" s="2">
        <v>4.32000412188022E-2</v>
      </c>
      <c r="G9" s="2">
        <v>4.32000412188022E-2</v>
      </c>
      <c r="H9" s="2">
        <f t="shared" si="0"/>
        <v>0</v>
      </c>
      <c r="I9" s="1">
        <v>1</v>
      </c>
      <c r="J9" s="2">
        <v>3.1835616390899997E-2</v>
      </c>
      <c r="K9" s="2">
        <v>3.1835616390899997E-2</v>
      </c>
      <c r="L9" s="2">
        <f t="shared" si="1"/>
        <v>0</v>
      </c>
      <c r="M9" s="1">
        <v>1</v>
      </c>
      <c r="N9" s="2">
        <v>6.8090542194350206E-2</v>
      </c>
      <c r="O9" s="2">
        <v>6.8090542194350206E-2</v>
      </c>
      <c r="P9" s="2">
        <f t="shared" si="2"/>
        <v>0</v>
      </c>
      <c r="Q9" s="1">
        <v>3</v>
      </c>
      <c r="R9" s="2">
        <v>0.128925915901733</v>
      </c>
      <c r="S9" s="2">
        <v>0.12717142477276</v>
      </c>
      <c r="T9" s="2">
        <f t="shared" si="3"/>
        <v>1.3608521736702375E-2</v>
      </c>
    </row>
    <row r="10" spans="1:20" x14ac:dyDescent="0.3">
      <c r="A10" t="s">
        <v>28</v>
      </c>
      <c r="B10">
        <v>18</v>
      </c>
      <c r="C10">
        <v>143</v>
      </c>
      <c r="D10">
        <v>4095</v>
      </c>
      <c r="E10" s="1">
        <v>3</v>
      </c>
      <c r="F10" s="2">
        <v>3.9504146752125199E-2</v>
      </c>
      <c r="G10" s="2">
        <v>3.7146849427532103E-2</v>
      </c>
      <c r="H10" s="2">
        <f t="shared" si="0"/>
        <v>5.967214883501519E-2</v>
      </c>
      <c r="I10" s="1">
        <v>3</v>
      </c>
      <c r="J10" s="2">
        <v>3.3861465549062698E-2</v>
      </c>
      <c r="K10" s="2">
        <v>6.7996697344452295E-2</v>
      </c>
      <c r="L10" s="2">
        <f t="shared" si="1"/>
        <v>-1.0080848906533662</v>
      </c>
      <c r="M10" s="1">
        <v>3</v>
      </c>
      <c r="N10" s="2">
        <v>5.9230708652119497E-2</v>
      </c>
      <c r="O10" s="2">
        <v>2.0856135586164701E-2</v>
      </c>
      <c r="P10" s="2">
        <f t="shared" si="2"/>
        <v>0.64788306503879056</v>
      </c>
      <c r="Q10" s="1">
        <v>3</v>
      </c>
      <c r="R10" s="2">
        <v>9.5947392452424299E-2</v>
      </c>
      <c r="S10" s="2">
        <v>9.2906502893121606E-2</v>
      </c>
      <c r="T10" s="2">
        <f t="shared" si="3"/>
        <v>3.1693300688817816E-2</v>
      </c>
    </row>
    <row r="11" spans="1:20" x14ac:dyDescent="0.3">
      <c r="A11" t="s">
        <v>29</v>
      </c>
      <c r="B11">
        <v>18</v>
      </c>
      <c r="C11">
        <v>134</v>
      </c>
      <c r="D11">
        <v>3321</v>
      </c>
      <c r="E11" s="1">
        <v>3</v>
      </c>
      <c r="F11" s="2">
        <v>0.156074656755297</v>
      </c>
      <c r="G11" s="2">
        <v>0.12220945707754401</v>
      </c>
      <c r="H11" s="2">
        <f t="shared" si="0"/>
        <v>0.21698077305945218</v>
      </c>
      <c r="I11" s="1">
        <v>3</v>
      </c>
      <c r="J11" s="2">
        <v>2.7134633880764598E-2</v>
      </c>
      <c r="K11" s="2">
        <v>3.8345046164132E-2</v>
      </c>
      <c r="L11" s="2">
        <f t="shared" si="1"/>
        <v>-0.41314035533438032</v>
      </c>
      <c r="M11" s="1">
        <v>2</v>
      </c>
      <c r="N11" s="2">
        <v>0.13853555359288799</v>
      </c>
      <c r="O11" s="2">
        <v>0.149378234229643</v>
      </c>
      <c r="P11" s="2">
        <f t="shared" si="2"/>
        <v>-7.826641144134161E-2</v>
      </c>
      <c r="Q11" s="1">
        <v>1</v>
      </c>
      <c r="R11" s="2">
        <v>0.15996779235634301</v>
      </c>
      <c r="S11" s="2">
        <v>0.15996779235634301</v>
      </c>
      <c r="T11" s="2">
        <f t="shared" si="3"/>
        <v>0</v>
      </c>
    </row>
    <row r="12" spans="1:20" x14ac:dyDescent="0.3">
      <c r="A12" t="s">
        <v>30</v>
      </c>
      <c r="B12">
        <v>18</v>
      </c>
      <c r="C12">
        <v>134</v>
      </c>
      <c r="D12">
        <v>3321</v>
      </c>
      <c r="E12" s="1">
        <v>3</v>
      </c>
      <c r="F12" s="2">
        <v>0.29679667310239499</v>
      </c>
      <c r="G12" s="2">
        <v>0.18996663501761901</v>
      </c>
      <c r="H12" s="2">
        <f t="shared" si="0"/>
        <v>0.35994351610511338</v>
      </c>
      <c r="I12" s="1">
        <v>2</v>
      </c>
      <c r="J12" s="2">
        <v>0.11414917178973701</v>
      </c>
      <c r="K12" s="2">
        <v>0.12886621691558101</v>
      </c>
      <c r="L12" s="2">
        <f t="shared" si="1"/>
        <v>-0.12892818138841011</v>
      </c>
      <c r="M12" s="1">
        <v>3</v>
      </c>
      <c r="N12" s="2">
        <v>0.130735578514734</v>
      </c>
      <c r="O12" s="2">
        <v>0.132146693788849</v>
      </c>
      <c r="P12" s="2">
        <f t="shared" si="2"/>
        <v>-1.0793659156493236E-2</v>
      </c>
      <c r="Q12" s="1">
        <v>2</v>
      </c>
      <c r="R12" s="2">
        <v>0.16643995461401301</v>
      </c>
      <c r="S12" s="2">
        <v>0.18698674510041299</v>
      </c>
      <c r="T12" s="2">
        <f t="shared" si="3"/>
        <v>-0.12344866672217956</v>
      </c>
    </row>
    <row r="13" spans="1:20" x14ac:dyDescent="0.3">
      <c r="A13" t="s">
        <v>31</v>
      </c>
      <c r="B13">
        <v>18</v>
      </c>
      <c r="C13">
        <v>134</v>
      </c>
      <c r="D13">
        <v>3321</v>
      </c>
      <c r="E13" s="1">
        <v>2</v>
      </c>
      <c r="F13" s="2">
        <v>0.305859444096308</v>
      </c>
      <c r="G13" s="2">
        <v>0.29392121140678101</v>
      </c>
      <c r="H13" s="2">
        <f t="shared" si="0"/>
        <v>3.9031760895268983E-2</v>
      </c>
      <c r="I13" s="1">
        <v>2</v>
      </c>
      <c r="J13" s="2">
        <v>0.32251516280037601</v>
      </c>
      <c r="K13" s="2">
        <v>0.34250821743632198</v>
      </c>
      <c r="L13" s="2">
        <f t="shared" si="1"/>
        <v>-6.1991053265054934E-2</v>
      </c>
      <c r="M13" s="1">
        <v>2</v>
      </c>
      <c r="N13" s="2">
        <v>0.33659645319260201</v>
      </c>
      <c r="O13" s="2">
        <v>0.34119222652075698</v>
      </c>
      <c r="P13" s="2">
        <f t="shared" si="2"/>
        <v>-1.3653659403015904E-2</v>
      </c>
      <c r="Q13" s="1">
        <v>2</v>
      </c>
      <c r="R13" s="2">
        <v>0.311126805256766</v>
      </c>
      <c r="S13" s="2">
        <v>0.31281858540788499</v>
      </c>
      <c r="T13" s="2">
        <f t="shared" si="3"/>
        <v>-5.4375904696568785E-3</v>
      </c>
    </row>
    <row r="14" spans="1:20" x14ac:dyDescent="0.3">
      <c r="A14" t="s">
        <v>32</v>
      </c>
      <c r="B14">
        <v>18</v>
      </c>
      <c r="C14">
        <v>144</v>
      </c>
      <c r="D14">
        <v>4186</v>
      </c>
      <c r="E14" s="1">
        <v>2</v>
      </c>
      <c r="F14" s="2">
        <v>8.5261651246702194E-2</v>
      </c>
      <c r="G14" s="2">
        <v>9.9589201253562395E-2</v>
      </c>
      <c r="H14" s="2">
        <f t="shared" si="0"/>
        <v>-0.16804213614634131</v>
      </c>
      <c r="I14" s="1">
        <v>3</v>
      </c>
      <c r="J14" s="2">
        <v>8.1867675602884299E-2</v>
      </c>
      <c r="K14" s="2">
        <v>0.102861323657855</v>
      </c>
      <c r="L14" s="2">
        <f t="shared" si="1"/>
        <v>-0.25643390874811972</v>
      </c>
      <c r="M14" s="1">
        <v>3</v>
      </c>
      <c r="N14" s="2">
        <v>7.7480706012057907E-2</v>
      </c>
      <c r="O14" s="2">
        <v>0.102166913818175</v>
      </c>
      <c r="P14" s="2">
        <f t="shared" si="2"/>
        <v>-0.31861103333616125</v>
      </c>
      <c r="Q14" s="1">
        <v>2</v>
      </c>
      <c r="R14" s="2">
        <v>8.0719039600325906E-2</v>
      </c>
      <c r="S14" s="2">
        <v>7.1327855114163105E-2</v>
      </c>
      <c r="T14" s="2">
        <f t="shared" si="3"/>
        <v>0.11634410583503628</v>
      </c>
    </row>
    <row r="15" spans="1:20" x14ac:dyDescent="0.3">
      <c r="A15" t="s">
        <v>33</v>
      </c>
      <c r="B15">
        <v>18</v>
      </c>
      <c r="C15">
        <v>144</v>
      </c>
      <c r="D15">
        <v>4186</v>
      </c>
      <c r="E15" s="1">
        <v>2</v>
      </c>
      <c r="F15" s="2">
        <v>0.12766628412313999</v>
      </c>
      <c r="G15" s="2">
        <v>0.122075462333644</v>
      </c>
      <c r="H15" s="2">
        <f t="shared" si="0"/>
        <v>4.3792468997557635E-2</v>
      </c>
      <c r="I15" s="1">
        <v>2</v>
      </c>
      <c r="J15" s="2">
        <v>0.16380706329287001</v>
      </c>
      <c r="K15" s="2">
        <v>0.128187138008512</v>
      </c>
      <c r="L15" s="2">
        <f t="shared" si="1"/>
        <v>0.21745048454151994</v>
      </c>
      <c r="M15" s="1">
        <v>2</v>
      </c>
      <c r="N15" s="2">
        <v>0.17008438325495201</v>
      </c>
      <c r="O15" s="2">
        <v>0.13390517691575901</v>
      </c>
      <c r="P15" s="2">
        <f t="shared" si="2"/>
        <v>0.21271327588589553</v>
      </c>
      <c r="Q15" s="1">
        <v>2</v>
      </c>
      <c r="R15" s="2">
        <v>0.14207117509858899</v>
      </c>
      <c r="S15" s="2">
        <v>0.152325066456483</v>
      </c>
      <c r="T15" s="2">
        <f t="shared" si="3"/>
        <v>-7.2174326359857391E-2</v>
      </c>
    </row>
    <row r="16" spans="1:20" x14ac:dyDescent="0.3">
      <c r="A16" t="s">
        <v>34</v>
      </c>
      <c r="B16">
        <v>18</v>
      </c>
      <c r="C16">
        <v>144</v>
      </c>
      <c r="D16">
        <v>4186</v>
      </c>
      <c r="E16" s="1">
        <v>2</v>
      </c>
      <c r="F16" s="2">
        <v>0.257587399572276</v>
      </c>
      <c r="G16" s="2">
        <v>0.24204108623760101</v>
      </c>
      <c r="H16" s="2">
        <f t="shared" si="0"/>
        <v>6.0353547419204699E-2</v>
      </c>
      <c r="I16" s="1">
        <v>2</v>
      </c>
      <c r="J16" s="2">
        <v>0.273694852705057</v>
      </c>
      <c r="K16" s="2">
        <v>0.27295578428272199</v>
      </c>
      <c r="L16" s="2">
        <f t="shared" si="1"/>
        <v>2.7003373100752291E-3</v>
      </c>
      <c r="M16" s="1">
        <v>2</v>
      </c>
      <c r="N16" s="2">
        <v>0.24282525561032101</v>
      </c>
      <c r="O16" s="2">
        <v>0.25891862061194698</v>
      </c>
      <c r="P16" s="2">
        <f t="shared" si="2"/>
        <v>-6.6275499066918084E-2</v>
      </c>
      <c r="Q16" s="1">
        <v>2</v>
      </c>
      <c r="R16" s="2">
        <v>0.26892401218870099</v>
      </c>
      <c r="S16" s="2">
        <v>0.21876528015872701</v>
      </c>
      <c r="T16" s="2">
        <f t="shared" si="3"/>
        <v>0.18651637546883748</v>
      </c>
    </row>
    <row r="17" spans="1:20" x14ac:dyDescent="0.3">
      <c r="A17" t="s">
        <v>35</v>
      </c>
      <c r="B17">
        <v>18</v>
      </c>
      <c r="C17">
        <v>132</v>
      </c>
      <c r="D17">
        <v>3160</v>
      </c>
      <c r="E17" s="1">
        <v>2</v>
      </c>
      <c r="F17" s="2">
        <v>0.203233755703118</v>
      </c>
      <c r="G17" s="2">
        <v>0.19987770137255301</v>
      </c>
      <c r="H17" s="2">
        <f t="shared" si="0"/>
        <v>1.6513272211863675E-2</v>
      </c>
      <c r="I17" s="1">
        <v>2</v>
      </c>
      <c r="J17" s="2">
        <v>0.11165254122723101</v>
      </c>
      <c r="K17" s="2">
        <v>0.16151512916809199</v>
      </c>
      <c r="L17" s="2">
        <f t="shared" si="1"/>
        <v>-0.44658712997299849</v>
      </c>
      <c r="M17" s="1">
        <v>2</v>
      </c>
      <c r="N17" s="2">
        <v>0.15296270365283601</v>
      </c>
      <c r="O17" s="2">
        <v>0.17016157967748</v>
      </c>
      <c r="P17" s="2">
        <f t="shared" si="2"/>
        <v>-0.11243836316909339</v>
      </c>
      <c r="Q17" s="1">
        <v>2</v>
      </c>
      <c r="R17" s="2">
        <v>0.138422508767753</v>
      </c>
      <c r="S17" s="2">
        <v>0.138385264355252</v>
      </c>
      <c r="T17" s="2">
        <f t="shared" si="3"/>
        <v>2.6906326747398106E-4</v>
      </c>
    </row>
    <row r="18" spans="1:20" x14ac:dyDescent="0.3">
      <c r="A18" t="s">
        <v>36</v>
      </c>
      <c r="B18">
        <v>18</v>
      </c>
      <c r="C18">
        <v>108</v>
      </c>
      <c r="D18">
        <v>1540</v>
      </c>
      <c r="E18" s="1">
        <v>2</v>
      </c>
      <c r="F18" s="2">
        <v>0.131281239540604</v>
      </c>
      <c r="G18" s="2">
        <v>9.5501301174538797E-2</v>
      </c>
      <c r="H18" s="2">
        <f t="shared" si="0"/>
        <v>0.27254418446436757</v>
      </c>
      <c r="I18" s="1">
        <v>2</v>
      </c>
      <c r="J18" s="2">
        <v>6.1335460213766298E-2</v>
      </c>
      <c r="K18" s="2">
        <v>8.1157173723408693E-2</v>
      </c>
      <c r="L18" s="2">
        <f t="shared" si="1"/>
        <v>-0.32316890491340206</v>
      </c>
      <c r="M18" s="1">
        <v>2</v>
      </c>
      <c r="N18" s="2">
        <v>3.6819901615369799E-2</v>
      </c>
      <c r="O18" s="2">
        <v>4.3478668818721103E-2</v>
      </c>
      <c r="P18" s="2">
        <f t="shared" si="2"/>
        <v>-0.18084695806388909</v>
      </c>
      <c r="Q18" s="1">
        <v>2</v>
      </c>
      <c r="R18" s="2">
        <v>3.80761800122493E-2</v>
      </c>
      <c r="S18" s="2">
        <v>3.6568142482381202E-2</v>
      </c>
      <c r="T18" s="2">
        <f t="shared" si="3"/>
        <v>3.9605798937365939E-2</v>
      </c>
    </row>
    <row r="19" spans="1:20" x14ac:dyDescent="0.3">
      <c r="A19" t="s">
        <v>37</v>
      </c>
      <c r="B19">
        <v>18</v>
      </c>
      <c r="C19">
        <v>134</v>
      </c>
      <c r="D19">
        <v>3321</v>
      </c>
      <c r="E19" s="1">
        <v>2</v>
      </c>
      <c r="F19" s="2">
        <v>0.377391919323882</v>
      </c>
      <c r="G19" s="2">
        <v>0.43136004420372798</v>
      </c>
      <c r="H19" s="2">
        <f t="shared" si="0"/>
        <v>-0.14300286285019773</v>
      </c>
      <c r="I19" s="1">
        <v>2</v>
      </c>
      <c r="J19" s="2">
        <v>0.34780377267888402</v>
      </c>
      <c r="K19" s="2">
        <v>0.34108637154392402</v>
      </c>
      <c r="L19" s="2">
        <f t="shared" si="1"/>
        <v>1.9313767309712189E-2</v>
      </c>
      <c r="M19" s="1">
        <v>3</v>
      </c>
      <c r="N19" s="2">
        <v>0.358066116899391</v>
      </c>
      <c r="O19" s="2">
        <v>0.34725312865618502</v>
      </c>
      <c r="P19" s="2">
        <f t="shared" si="2"/>
        <v>3.0198300629054493E-2</v>
      </c>
      <c r="Q19" s="1">
        <v>3</v>
      </c>
      <c r="R19" s="2">
        <v>0.36606251965507097</v>
      </c>
      <c r="S19" s="2">
        <v>0.55849633280181499</v>
      </c>
      <c r="T19" s="2">
        <f t="shared" si="3"/>
        <v>-0.52568564880138036</v>
      </c>
    </row>
    <row r="20" spans="1:20" x14ac:dyDescent="0.3">
      <c r="A20" t="s">
        <v>38</v>
      </c>
      <c r="B20">
        <v>18</v>
      </c>
      <c r="C20">
        <v>134</v>
      </c>
      <c r="D20">
        <v>3321</v>
      </c>
      <c r="E20" s="1">
        <v>2</v>
      </c>
      <c r="F20" s="2">
        <v>0.35116662290455603</v>
      </c>
      <c r="G20" s="2">
        <v>0.32465479305797701</v>
      </c>
      <c r="H20" s="2">
        <f t="shared" si="0"/>
        <v>7.5496439915887725E-2</v>
      </c>
      <c r="I20" s="1">
        <v>2</v>
      </c>
      <c r="J20" s="2">
        <v>0.19417231095505</v>
      </c>
      <c r="K20" s="2">
        <v>0.24174430117054799</v>
      </c>
      <c r="L20" s="2">
        <f t="shared" si="1"/>
        <v>-0.24499883624761867</v>
      </c>
      <c r="M20" s="1">
        <v>3</v>
      </c>
      <c r="N20" s="2">
        <v>0.23135023455741199</v>
      </c>
      <c r="O20" s="2">
        <v>0.237674880181621</v>
      </c>
      <c r="P20" s="2">
        <f t="shared" si="2"/>
        <v>-2.7337969361943656E-2</v>
      </c>
      <c r="Q20" s="1">
        <v>2</v>
      </c>
      <c r="R20" s="2">
        <v>0.266603604835012</v>
      </c>
      <c r="S20" s="2">
        <v>0.29118805090639099</v>
      </c>
      <c r="T20" s="2">
        <f t="shared" si="3"/>
        <v>-9.2213479583642968E-2</v>
      </c>
    </row>
    <row r="21" spans="1:20" x14ac:dyDescent="0.3">
      <c r="A21" t="s">
        <v>39</v>
      </c>
      <c r="B21">
        <v>18</v>
      </c>
      <c r="C21">
        <v>134</v>
      </c>
      <c r="D21">
        <v>3321</v>
      </c>
      <c r="E21" s="1">
        <v>2</v>
      </c>
      <c r="F21" s="2">
        <v>0.17348948203427</v>
      </c>
      <c r="G21" s="2">
        <v>0.18902050112379601</v>
      </c>
      <c r="H21" s="2">
        <f t="shared" si="0"/>
        <v>-8.9521387160854546E-2</v>
      </c>
      <c r="I21" s="1">
        <v>2</v>
      </c>
      <c r="J21" s="2">
        <v>9.4513840558739098E-2</v>
      </c>
      <c r="K21" s="2">
        <v>0.103888757665958</v>
      </c>
      <c r="L21" s="2">
        <f t="shared" si="1"/>
        <v>-9.9190944435196354E-2</v>
      </c>
      <c r="M21" s="1">
        <v>2</v>
      </c>
      <c r="N21" s="2">
        <v>0.12740739307585999</v>
      </c>
      <c r="O21" s="2">
        <v>0.123999719308187</v>
      </c>
      <c r="P21" s="2">
        <f t="shared" si="2"/>
        <v>2.6746279673456799E-2</v>
      </c>
      <c r="Q21" s="1">
        <v>2</v>
      </c>
      <c r="R21" s="2">
        <v>0.18686608745761801</v>
      </c>
      <c r="S21" s="2">
        <v>0.18442030179921301</v>
      </c>
      <c r="T21" s="2">
        <f t="shared" si="3"/>
        <v>1.308844045316525E-2</v>
      </c>
    </row>
    <row r="22" spans="1:20" x14ac:dyDescent="0.3">
      <c r="A22" t="s">
        <v>40</v>
      </c>
      <c r="B22">
        <v>18</v>
      </c>
      <c r="C22">
        <v>126</v>
      </c>
      <c r="D22">
        <v>2701</v>
      </c>
      <c r="E22" s="1">
        <v>1</v>
      </c>
      <c r="F22" s="2">
        <v>0.205234469001701</v>
      </c>
      <c r="G22" s="2">
        <v>0.205234469001701</v>
      </c>
      <c r="H22" s="2">
        <f t="shared" si="0"/>
        <v>0</v>
      </c>
      <c r="I22" s="1">
        <v>2</v>
      </c>
      <c r="J22" s="2">
        <v>0.19260404367328501</v>
      </c>
      <c r="K22" s="2">
        <v>0.12492552035153701</v>
      </c>
      <c r="L22" s="2">
        <f t="shared" si="1"/>
        <v>0.35138682465333565</v>
      </c>
      <c r="M22" s="1">
        <v>1</v>
      </c>
      <c r="N22" s="2">
        <v>0.176397702424407</v>
      </c>
      <c r="O22" s="2">
        <v>0.176397702424407</v>
      </c>
      <c r="P22" s="2">
        <f t="shared" si="2"/>
        <v>0</v>
      </c>
      <c r="Q22" s="1">
        <v>2</v>
      </c>
      <c r="R22" s="2">
        <v>0.25060035666422897</v>
      </c>
      <c r="S22" s="2">
        <v>0.153637369996487</v>
      </c>
      <c r="T22" s="2">
        <f t="shared" si="3"/>
        <v>0.3869227799929249</v>
      </c>
    </row>
    <row r="23" spans="1:20" x14ac:dyDescent="0.3">
      <c r="A23" t="s">
        <v>41</v>
      </c>
      <c r="B23">
        <v>18</v>
      </c>
      <c r="C23">
        <v>126</v>
      </c>
      <c r="D23">
        <v>2701</v>
      </c>
      <c r="E23" s="1">
        <v>2</v>
      </c>
      <c r="F23" s="2">
        <v>0.18401609576987299</v>
      </c>
      <c r="G23" s="2">
        <v>8.0705332900795998E-2</v>
      </c>
      <c r="H23" s="2">
        <f t="shared" si="0"/>
        <v>0.56142242577668566</v>
      </c>
      <c r="I23" s="1">
        <v>2</v>
      </c>
      <c r="J23" s="2">
        <v>8.0351895803394996E-2</v>
      </c>
      <c r="K23" s="2">
        <v>0.13268684246485299</v>
      </c>
      <c r="L23" s="2">
        <f t="shared" si="1"/>
        <v>-0.65132186537964365</v>
      </c>
      <c r="M23" s="1">
        <v>1</v>
      </c>
      <c r="N23" s="2">
        <v>7.6581461838669901E-2</v>
      </c>
      <c r="O23" s="2">
        <v>7.6581461838669901E-2</v>
      </c>
      <c r="P23" s="2">
        <f t="shared" si="2"/>
        <v>0</v>
      </c>
      <c r="Q23" s="1">
        <v>2</v>
      </c>
      <c r="R23" s="2">
        <v>7.8594896647222995E-2</v>
      </c>
      <c r="S23" s="2">
        <v>8.0383239807342799E-2</v>
      </c>
      <c r="T23" s="2">
        <f t="shared" si="3"/>
        <v>-2.2753934878836587E-2</v>
      </c>
    </row>
    <row r="24" spans="1:20" x14ac:dyDescent="0.3">
      <c r="A24" t="s">
        <v>42</v>
      </c>
      <c r="B24">
        <v>18</v>
      </c>
      <c r="C24">
        <v>126</v>
      </c>
      <c r="D24">
        <v>2701</v>
      </c>
      <c r="E24" s="1">
        <v>2</v>
      </c>
      <c r="F24" s="2">
        <v>0.13819656731591601</v>
      </c>
      <c r="G24" s="2">
        <v>0.14212163657443599</v>
      </c>
      <c r="H24" s="2">
        <f t="shared" si="0"/>
        <v>-2.8402074919468268E-2</v>
      </c>
      <c r="I24" s="1">
        <v>2</v>
      </c>
      <c r="J24" s="2">
        <v>0.23014090525896</v>
      </c>
      <c r="K24" s="2">
        <v>0.14478631459067301</v>
      </c>
      <c r="L24" s="2">
        <f t="shared" si="1"/>
        <v>0.3708797033375878</v>
      </c>
      <c r="M24" s="1">
        <v>2</v>
      </c>
      <c r="N24" s="2">
        <v>0.22571339055021999</v>
      </c>
      <c r="O24" s="2">
        <v>0.19035570505754101</v>
      </c>
      <c r="P24" s="2">
        <f t="shared" si="2"/>
        <v>0.15664859495702843</v>
      </c>
      <c r="Q24" s="1">
        <v>2</v>
      </c>
      <c r="R24" s="2">
        <v>0.13656043690081701</v>
      </c>
      <c r="S24" s="2">
        <v>0.143048069862344</v>
      </c>
      <c r="T24" s="2">
        <f t="shared" si="3"/>
        <v>-4.7507412166811661E-2</v>
      </c>
    </row>
    <row r="25" spans="1:20" x14ac:dyDescent="0.3">
      <c r="A25" t="s">
        <v>43</v>
      </c>
      <c r="B25">
        <v>18</v>
      </c>
      <c r="C25">
        <v>126</v>
      </c>
      <c r="D25">
        <v>2701</v>
      </c>
      <c r="E25" s="1">
        <v>2</v>
      </c>
      <c r="F25" s="2">
        <v>0.22745918661860201</v>
      </c>
      <c r="G25" s="2">
        <v>6.6026462297107E-2</v>
      </c>
      <c r="H25" s="2">
        <f t="shared" si="0"/>
        <v>0.70972171632786796</v>
      </c>
      <c r="I25" s="1">
        <v>1</v>
      </c>
      <c r="J25" s="2">
        <v>3.8812440212062198E-2</v>
      </c>
      <c r="K25" s="2">
        <v>3.8812440212062198E-2</v>
      </c>
      <c r="L25" s="2">
        <f t="shared" si="1"/>
        <v>0</v>
      </c>
      <c r="M25" s="1">
        <v>1</v>
      </c>
      <c r="N25" s="2">
        <v>2.6564997076891101E-2</v>
      </c>
      <c r="O25" s="2">
        <v>2.6564997076891101E-2</v>
      </c>
      <c r="P25" s="2">
        <f t="shared" si="2"/>
        <v>0</v>
      </c>
      <c r="Q25" s="1">
        <v>1</v>
      </c>
      <c r="R25" s="2">
        <v>3.3065278358377699E-2</v>
      </c>
      <c r="S25" s="2">
        <v>3.3065278358377699E-2</v>
      </c>
      <c r="T25" s="2">
        <f t="shared" si="3"/>
        <v>0</v>
      </c>
    </row>
    <row r="26" spans="1:20" x14ac:dyDescent="0.3">
      <c r="A26" t="s">
        <v>44</v>
      </c>
      <c r="B26">
        <v>18</v>
      </c>
      <c r="C26">
        <v>126</v>
      </c>
      <c r="D26">
        <v>2701</v>
      </c>
      <c r="E26" s="1">
        <v>2</v>
      </c>
      <c r="F26" s="2">
        <v>0.11093704115764801</v>
      </c>
      <c r="G26" s="2">
        <v>5.8071550632327502E-2</v>
      </c>
      <c r="H26" s="2">
        <f t="shared" si="0"/>
        <v>0.47653597007509474</v>
      </c>
      <c r="I26" s="1">
        <v>1</v>
      </c>
      <c r="J26" s="2">
        <v>6.0532026576820303E-2</v>
      </c>
      <c r="K26" s="2">
        <v>6.0532026576820303E-2</v>
      </c>
      <c r="L26" s="2">
        <f t="shared" si="1"/>
        <v>0</v>
      </c>
      <c r="M26" s="1">
        <v>1</v>
      </c>
      <c r="N26" s="2">
        <v>5.9366779841407903E-2</v>
      </c>
      <c r="O26" s="2">
        <v>5.9366779841407903E-2</v>
      </c>
      <c r="P26" s="2">
        <f t="shared" si="2"/>
        <v>0</v>
      </c>
      <c r="Q26" s="1">
        <v>1</v>
      </c>
      <c r="R26" s="2">
        <v>5.3800790347436199E-2</v>
      </c>
      <c r="S26" s="2">
        <v>5.3800790347436199E-2</v>
      </c>
      <c r="T26" s="2">
        <f t="shared" si="3"/>
        <v>0</v>
      </c>
    </row>
    <row r="27" spans="1:20" x14ac:dyDescent="0.3">
      <c r="A27" t="s">
        <v>45</v>
      </c>
      <c r="B27">
        <v>18</v>
      </c>
      <c r="C27">
        <v>120</v>
      </c>
      <c r="D27">
        <v>2278</v>
      </c>
      <c r="E27" s="1">
        <v>2</v>
      </c>
      <c r="F27" s="2">
        <v>0.165237177497677</v>
      </c>
      <c r="G27" s="2">
        <v>0.15976622483707001</v>
      </c>
      <c r="H27" s="2">
        <f t="shared" si="0"/>
        <v>3.3109695671749782E-2</v>
      </c>
      <c r="I27" s="1">
        <v>2</v>
      </c>
      <c r="J27" s="2">
        <v>0.14703730669706899</v>
      </c>
      <c r="K27" s="2">
        <v>0.143308462738409</v>
      </c>
      <c r="L27" s="2">
        <f t="shared" si="1"/>
        <v>2.5359849431561467E-2</v>
      </c>
      <c r="M27" s="1">
        <v>2</v>
      </c>
      <c r="N27" s="2">
        <v>0.14012524997078901</v>
      </c>
      <c r="O27" s="2">
        <v>0.118054163095203</v>
      </c>
      <c r="P27" s="2">
        <f t="shared" si="2"/>
        <v>0.15750970563968325</v>
      </c>
      <c r="Q27" s="1">
        <v>2</v>
      </c>
      <c r="R27" s="2">
        <v>0.15883491910184999</v>
      </c>
      <c r="S27" s="2">
        <v>0.17528026835062699</v>
      </c>
      <c r="T27" s="2">
        <f t="shared" si="3"/>
        <v>-0.10353736660533518</v>
      </c>
    </row>
    <row r="28" spans="1:20" x14ac:dyDescent="0.3">
      <c r="A28" t="s">
        <v>46</v>
      </c>
      <c r="B28">
        <v>18</v>
      </c>
      <c r="C28">
        <v>120</v>
      </c>
      <c r="D28">
        <v>2278</v>
      </c>
      <c r="E28" s="1">
        <v>2</v>
      </c>
      <c r="F28" s="2">
        <v>0.18955613162066801</v>
      </c>
      <c r="G28" s="2">
        <v>0.18245621167554199</v>
      </c>
      <c r="H28" s="2">
        <f t="shared" si="0"/>
        <v>3.7455501356896674E-2</v>
      </c>
      <c r="I28" s="1">
        <v>1</v>
      </c>
      <c r="J28" s="2">
        <v>0.17045418143614</v>
      </c>
      <c r="K28" s="2">
        <v>0.17045418143614</v>
      </c>
      <c r="L28" s="2">
        <f t="shared" si="1"/>
        <v>0</v>
      </c>
      <c r="M28" s="1">
        <v>1</v>
      </c>
      <c r="N28" s="2">
        <v>0.171181515839049</v>
      </c>
      <c r="O28" s="2">
        <v>0.171181515839049</v>
      </c>
      <c r="P28" s="2">
        <f t="shared" si="2"/>
        <v>0</v>
      </c>
      <c r="Q28" s="1">
        <v>1</v>
      </c>
      <c r="R28" s="2">
        <v>0.203414288497962</v>
      </c>
      <c r="S28" s="2">
        <v>0.203414288497962</v>
      </c>
      <c r="T28" s="2">
        <f t="shared" si="3"/>
        <v>0</v>
      </c>
    </row>
    <row r="30" spans="1:20" x14ac:dyDescent="0.3">
      <c r="A30" t="s">
        <v>47</v>
      </c>
      <c r="H30" s="2">
        <f>AVERAGE(H2:H28)</f>
        <v>-1.3309617386307284E-4</v>
      </c>
      <c r="L30" s="2">
        <f>AVERAGE(L2:L28)</f>
        <v>-0.1878261983645737</v>
      </c>
      <c r="P30" s="2">
        <f>AVERAGE(O2:O28)</f>
        <v>0.13207790626830584</v>
      </c>
      <c r="T30" s="2">
        <f>AVERAGE(T2:T28)</f>
        <v>1.5755341992101856E-3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Vittorio Maniezzo</dc:creator>
  <cp:lastModifiedBy>Vittorio Maniezzo</cp:lastModifiedBy>
  <dcterms:created xsi:type="dcterms:W3CDTF">2026-08-11T14:54:49Z</dcterms:created>
  <dcterms:modified xsi:type="dcterms:W3CDTF">2026-08-11T14:59:34Z</dcterms:modified>
</cp:coreProperties>
</file>