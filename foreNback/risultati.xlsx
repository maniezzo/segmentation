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segmentation\foreNback\"/>
    </mc:Choice>
  </mc:AlternateContent>
  <xr:revisionPtr revIDLastSave="0" documentId="13_ncr:1_{D42A7BD9-6374-4AE9-9C24-DD21EDCF9A15}" xr6:coauthVersionLast="47" xr6:coauthVersionMax="47" xr10:uidLastSave="{00000000-0000-0000-0000-000000000000}"/>
  <bookViews>
    <workbookView xWindow="34575" yWindow="45" windowWidth="21675" windowHeight="14760" xr2:uid="{C111D639-DAC3-4116-B91A-4E53EB96B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1" l="1"/>
  <c r="J9" i="1"/>
  <c r="J5" i="1"/>
  <c r="J4" i="1"/>
  <c r="J3" i="1"/>
  <c r="J6" i="1"/>
  <c r="J7" i="1"/>
  <c r="J8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" i="1"/>
  <c r="B52" i="1"/>
  <c r="B40" i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D57" i="1" a="1"/>
  <c r="D5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<sst xmlns="http://schemas.openxmlformats.org/spreadsheetml/2006/main" count="95" uniqueCount="49">
  <si>
    <t>M3/N1879</t>
  </si>
  <si>
    <t>n</t>
  </si>
  <si>
    <t>func</t>
  </si>
  <si>
    <t>t.cpu</t>
  </si>
  <si>
    <t>num.matches</t>
  </si>
  <si>
    <t>n.fathomed</t>
  </si>
  <si>
    <t>n.brk</t>
  </si>
  <si>
    <t>M3/N1881</t>
  </si>
  <si>
    <t>M3/N1882</t>
  </si>
  <si>
    <t>M3/N1883</t>
  </si>
  <si>
    <t>M3/N1884</t>
  </si>
  <si>
    <t>M3/N1918</t>
  </si>
  <si>
    <t>M3/N2830</t>
  </si>
  <si>
    <t>M3/N2831</t>
  </si>
  <si>
    <t>M3/N2832</t>
  </si>
  <si>
    <t>M3/N2833</t>
  </si>
  <si>
    <t>M3/N2834</t>
  </si>
  <si>
    <t>M4/D127</t>
  </si>
  <si>
    <t>(Bellman-Ford)</t>
  </si>
  <si>
    <t>cost:</t>
  </si>
  <si>
    <t>n_brk</t>
  </si>
  <si>
    <t>M4/Q14640</t>
  </si>
  <si>
    <t>M4/Q15444</t>
  </si>
  <si>
    <t>M4/Q18148</t>
  </si>
  <si>
    <t>M4/Q18496</t>
  </si>
  <si>
    <t>M4/Q19604</t>
  </si>
  <si>
    <t>M4/Q19637</t>
  </si>
  <si>
    <t>M4/Q2002</t>
  </si>
  <si>
    <t>M4/Q22221</t>
  </si>
  <si>
    <t>M4/Q5109</t>
  </si>
  <si>
    <t>M4/Q7774</t>
  </si>
  <si>
    <t>M4/Q8030</t>
  </si>
  <si>
    <t>M6/ABBV</t>
  </si>
  <si>
    <t>M6/BTCUSD</t>
  </si>
  <si>
    <t>M6/EURCHF</t>
  </si>
  <si>
    <t>M6/EURUSD</t>
  </si>
  <si>
    <t>M6/EWG</t>
  </si>
  <si>
    <t>M6/EWQ</t>
  </si>
  <si>
    <t>M6/EWZ</t>
  </si>
  <si>
    <t>M6/GBPUSD</t>
  </si>
  <si>
    <t>M6/PYPL</t>
  </si>
  <si>
    <t>M6/RBLX</t>
  </si>
  <si>
    <t>M6/ROST</t>
  </si>
  <si>
    <t>M6/SLV</t>
  </si>
  <si>
    <t>M6/USDJPY</t>
  </si>
  <si>
    <t>name</t>
  </si>
  <si>
    <t>cost</t>
  </si>
  <si>
    <t>t.tot</t>
  </si>
  <si>
    <t>t.opt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</si>
</sst>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DA6C-474B-4376-99E7-B5F6128828A3}">
  <dimension ref="A1:R75"/>
  <sheetViews>
    <sheetView tabSelected="1" workbookViewId="0">
      <selection activeCell="G20" sqref="G20"/>
    </sheetView>
  </sheetViews>
  <sheetFormatPr defaultRowHeight="15" x14ac:dyDescent="0.25"/>
  <cols>
    <col min="1" max="1" width="11.7109375" bestFit="1" customWidth="1"/>
  </cols>
  <sheetData>
    <row r="1" spans="1:18" x14ac:dyDescent="0.25">
      <c r="A1" t="s">
        <v>45</v>
      </c>
      <c r="B1" t="s">
        <v>1</v>
      </c>
      <c r="C1" t="s">
        <v>2</v>
      </c>
      <c r="D1" t="s">
        <v>46</v>
      </c>
      <c r="E1" t="s">
        <v>47</v>
      </c>
      <c r="F1" t="s">
        <v>48</v>
      </c>
      <c r="G1" t="s">
        <v>4</v>
      </c>
      <c r="H1" t="s">
        <v>5</v>
      </c>
      <c r="I1" t="s">
        <v>6</v>
      </c>
    </row>
    <row r="2" spans="1:18" x14ac:dyDescent="0.25">
      <c r="A2" t="s">
        <v>0</v>
      </c>
      <c r="B2">
        <v>144</v>
      </c>
      <c r="C2">
        <v>6</v>
      </c>
      <c r="D2">
        <v>24092765.27462</v>
      </c>
      <c r="E2">
        <v>0</v>
      </c>
      <c r="F2">
        <v>0</v>
      </c>
      <c r="G2">
        <v>266</v>
      </c>
      <c r="H2">
        <v>40446</v>
      </c>
      <c r="I2">
        <v>2</v>
      </c>
      <c r="J2">
        <f>ABS(I2-I40)</f>
        <v>5</v>
      </c>
    </row>
    <row r="3" spans="1:18" x14ac:dyDescent="0.25">
      <c r="A3" t="s">
        <v>7</v>
      </c>
      <c r="B3">
        <v>144</v>
      </c>
      <c r="C3">
        <v>6</v>
      </c>
      <c r="D3">
        <v>8360752.5599300005</v>
      </c>
      <c r="E3">
        <v>0</v>
      </c>
      <c r="F3">
        <v>0</v>
      </c>
      <c r="G3">
        <v>363</v>
      </c>
      <c r="H3">
        <v>20441</v>
      </c>
      <c r="I3">
        <v>7</v>
      </c>
      <c r="J3">
        <f t="shared" ref="J3:J37" si="0">ABS(I3-I41)</f>
        <v>0</v>
      </c>
    </row>
    <row r="4" spans="1:18" x14ac:dyDescent="0.25">
      <c r="A4" t="s">
        <v>8</v>
      </c>
      <c r="B4">
        <v>144</v>
      </c>
      <c r="C4">
        <v>6</v>
      </c>
      <c r="D4">
        <v>65136.19599</v>
      </c>
      <c r="E4">
        <v>0</v>
      </c>
      <c r="F4">
        <v>0</v>
      </c>
      <c r="G4">
        <v>285</v>
      </c>
      <c r="H4">
        <v>40027</v>
      </c>
      <c r="I4">
        <v>7</v>
      </c>
      <c r="J4">
        <f t="shared" si="0"/>
        <v>0</v>
      </c>
    </row>
    <row r="5" spans="1:18" x14ac:dyDescent="0.25">
      <c r="A5" t="s">
        <v>9</v>
      </c>
      <c r="B5">
        <v>144</v>
      </c>
      <c r="C5">
        <v>6</v>
      </c>
      <c r="D5">
        <v>29611.05315</v>
      </c>
      <c r="E5">
        <v>0</v>
      </c>
      <c r="F5">
        <v>0</v>
      </c>
      <c r="G5">
        <v>359</v>
      </c>
      <c r="H5">
        <v>25539</v>
      </c>
      <c r="I5">
        <v>7</v>
      </c>
      <c r="J5">
        <f t="shared" si="0"/>
        <v>0</v>
      </c>
    </row>
    <row r="6" spans="1:18" x14ac:dyDescent="0.25">
      <c r="A6" t="s">
        <v>10</v>
      </c>
      <c r="B6">
        <v>144</v>
      </c>
      <c r="C6">
        <v>6</v>
      </c>
      <c r="D6">
        <v>94746.701019999993</v>
      </c>
      <c r="E6">
        <v>0</v>
      </c>
      <c r="F6">
        <v>0</v>
      </c>
      <c r="G6">
        <v>337</v>
      </c>
      <c r="H6">
        <v>41697</v>
      </c>
      <c r="I6">
        <v>7</v>
      </c>
      <c r="J6">
        <f t="shared" si="0"/>
        <v>0</v>
      </c>
    </row>
    <row r="7" spans="1:18" x14ac:dyDescent="0.25">
      <c r="A7" t="s">
        <v>11</v>
      </c>
      <c r="B7">
        <v>144</v>
      </c>
      <c r="C7">
        <v>6</v>
      </c>
      <c r="D7">
        <v>363787.27711999998</v>
      </c>
      <c r="E7">
        <v>0</v>
      </c>
      <c r="F7">
        <v>0</v>
      </c>
      <c r="G7">
        <v>446</v>
      </c>
      <c r="H7">
        <v>21688</v>
      </c>
      <c r="I7">
        <v>6</v>
      </c>
      <c r="J7">
        <f t="shared" si="0"/>
        <v>1</v>
      </c>
    </row>
    <row r="8" spans="1:18" x14ac:dyDescent="0.25">
      <c r="A8" t="s">
        <v>12</v>
      </c>
      <c r="B8">
        <v>104</v>
      </c>
      <c r="C8">
        <v>6</v>
      </c>
      <c r="D8">
        <v>194522.02369999999</v>
      </c>
      <c r="E8">
        <v>0</v>
      </c>
      <c r="F8">
        <v>0</v>
      </c>
      <c r="G8">
        <v>219</v>
      </c>
      <c r="H8">
        <v>12497</v>
      </c>
      <c r="I8">
        <v>7</v>
      </c>
      <c r="J8">
        <f t="shared" si="0"/>
        <v>0</v>
      </c>
    </row>
    <row r="9" spans="1:18" x14ac:dyDescent="0.25">
      <c r="A9" t="s">
        <v>13</v>
      </c>
      <c r="B9">
        <v>104</v>
      </c>
      <c r="C9">
        <v>6</v>
      </c>
      <c r="D9">
        <v>6478704.1161000002</v>
      </c>
      <c r="E9">
        <v>0</v>
      </c>
      <c r="F9">
        <v>0</v>
      </c>
      <c r="G9">
        <v>175</v>
      </c>
      <c r="H9">
        <v>16713</v>
      </c>
      <c r="I9">
        <v>6</v>
      </c>
      <c r="J9">
        <f t="shared" si="0"/>
        <v>1</v>
      </c>
    </row>
    <row r="10" spans="1:18" x14ac:dyDescent="0.25">
      <c r="A10" t="s">
        <v>14</v>
      </c>
      <c r="B10">
        <v>104</v>
      </c>
      <c r="C10">
        <v>6</v>
      </c>
      <c r="D10">
        <v>67549187.476490006</v>
      </c>
      <c r="E10">
        <v>0</v>
      </c>
      <c r="F10">
        <v>0</v>
      </c>
      <c r="G10">
        <v>160</v>
      </c>
      <c r="H10">
        <v>19533</v>
      </c>
      <c r="I10">
        <v>4</v>
      </c>
      <c r="J10">
        <f t="shared" si="0"/>
        <v>1</v>
      </c>
    </row>
    <row r="11" spans="1:18" x14ac:dyDescent="0.25">
      <c r="A11" t="s">
        <v>15</v>
      </c>
      <c r="B11">
        <v>104</v>
      </c>
      <c r="C11">
        <v>6</v>
      </c>
      <c r="D11">
        <v>14795269.08694</v>
      </c>
      <c r="E11">
        <v>0</v>
      </c>
      <c r="F11">
        <v>0</v>
      </c>
      <c r="G11">
        <v>262</v>
      </c>
      <c r="H11">
        <v>4184</v>
      </c>
      <c r="I11">
        <v>7</v>
      </c>
      <c r="J11">
        <f t="shared" si="0"/>
        <v>0</v>
      </c>
    </row>
    <row r="12" spans="1:18" x14ac:dyDescent="0.25">
      <c r="A12" t="s">
        <v>16</v>
      </c>
      <c r="B12">
        <v>104</v>
      </c>
      <c r="C12">
        <v>6</v>
      </c>
      <c r="D12">
        <v>17208.08454</v>
      </c>
      <c r="E12">
        <v>0</v>
      </c>
      <c r="F12">
        <v>0</v>
      </c>
      <c r="G12">
        <v>248</v>
      </c>
      <c r="H12">
        <v>8600</v>
      </c>
      <c r="I12">
        <v>7</v>
      </c>
      <c r="J12">
        <f t="shared" si="0"/>
        <v>0</v>
      </c>
    </row>
    <row r="13" spans="1:18" x14ac:dyDescent="0.25">
      <c r="A13" t="s">
        <v>17</v>
      </c>
      <c r="B13">
        <v>1006</v>
      </c>
      <c r="C13">
        <v>6</v>
      </c>
      <c r="D13">
        <v>3183769.6773299999</v>
      </c>
      <c r="E13">
        <v>202</v>
      </c>
      <c r="G13">
        <v>1572</v>
      </c>
      <c r="H13">
        <v>28636452</v>
      </c>
      <c r="I13">
        <v>7</v>
      </c>
      <c r="J13">
        <f t="shared" si="0"/>
        <v>0</v>
      </c>
      <c r="K13" t="s">
        <v>18</v>
      </c>
      <c r="L13" t="s">
        <v>17</v>
      </c>
      <c r="M13" t="s">
        <v>19</v>
      </c>
      <c r="N13">
        <v>3125249.6995199998</v>
      </c>
      <c r="O13" t="s">
        <v>20</v>
      </c>
      <c r="P13">
        <v>7</v>
      </c>
      <c r="Q13" t="s">
        <v>3</v>
      </c>
      <c r="R13">
        <v>1</v>
      </c>
    </row>
    <row r="14" spans="1:18" x14ac:dyDescent="0.25">
      <c r="A14" t="s">
        <v>21</v>
      </c>
      <c r="B14">
        <v>115</v>
      </c>
      <c r="C14">
        <v>6</v>
      </c>
      <c r="D14">
        <v>37100222.050489999</v>
      </c>
      <c r="E14">
        <v>0</v>
      </c>
      <c r="F14">
        <v>0</v>
      </c>
      <c r="G14">
        <v>0</v>
      </c>
      <c r="H14">
        <v>17037</v>
      </c>
      <c r="I14">
        <v>0</v>
      </c>
      <c r="J14">
        <f t="shared" si="0"/>
        <v>1</v>
      </c>
    </row>
    <row r="15" spans="1:18" x14ac:dyDescent="0.25">
      <c r="A15" t="s">
        <v>22</v>
      </c>
      <c r="B15">
        <v>126</v>
      </c>
      <c r="C15">
        <v>6</v>
      </c>
      <c r="D15">
        <v>335032.43112000002</v>
      </c>
      <c r="E15">
        <v>0</v>
      </c>
      <c r="F15">
        <v>0</v>
      </c>
      <c r="G15">
        <v>105</v>
      </c>
      <c r="H15">
        <v>11704</v>
      </c>
      <c r="I15">
        <v>3</v>
      </c>
      <c r="J15">
        <f t="shared" si="0"/>
        <v>0</v>
      </c>
    </row>
    <row r="16" spans="1:18" x14ac:dyDescent="0.25">
      <c r="A16" t="s">
        <v>23</v>
      </c>
      <c r="B16">
        <v>71</v>
      </c>
      <c r="C16">
        <v>6</v>
      </c>
      <c r="D16">
        <v>14716823.892859999</v>
      </c>
      <c r="E16">
        <v>0</v>
      </c>
      <c r="F16">
        <v>0</v>
      </c>
      <c r="G16">
        <v>92</v>
      </c>
      <c r="H16">
        <v>2329</v>
      </c>
      <c r="I16">
        <v>2</v>
      </c>
      <c r="J16">
        <f t="shared" si="0"/>
        <v>2</v>
      </c>
    </row>
    <row r="17" spans="1:10" x14ac:dyDescent="0.25">
      <c r="A17" t="s">
        <v>24</v>
      </c>
      <c r="B17">
        <v>126</v>
      </c>
      <c r="C17">
        <v>6</v>
      </c>
      <c r="D17">
        <v>8785.9450400000005</v>
      </c>
      <c r="E17">
        <v>0</v>
      </c>
      <c r="F17">
        <v>0</v>
      </c>
      <c r="G17">
        <v>252</v>
      </c>
      <c r="H17">
        <v>17004</v>
      </c>
      <c r="I17">
        <v>7</v>
      </c>
      <c r="J17">
        <f t="shared" si="0"/>
        <v>0</v>
      </c>
    </row>
    <row r="18" spans="1:10" x14ac:dyDescent="0.25">
      <c r="A18" t="s">
        <v>25</v>
      </c>
      <c r="B18">
        <v>123</v>
      </c>
      <c r="C18">
        <v>6</v>
      </c>
      <c r="D18">
        <v>4010354.9343300001</v>
      </c>
      <c r="E18">
        <v>0</v>
      </c>
      <c r="F18">
        <v>0</v>
      </c>
      <c r="G18">
        <v>263</v>
      </c>
      <c r="H18">
        <v>18127</v>
      </c>
      <c r="I18">
        <v>7</v>
      </c>
      <c r="J18">
        <f t="shared" si="0"/>
        <v>0</v>
      </c>
    </row>
    <row r="19" spans="1:10" x14ac:dyDescent="0.25">
      <c r="A19" t="s">
        <v>26</v>
      </c>
      <c r="B19">
        <v>123</v>
      </c>
      <c r="C19">
        <v>6</v>
      </c>
      <c r="D19">
        <v>219756.92032</v>
      </c>
      <c r="E19">
        <v>0</v>
      </c>
      <c r="F19">
        <v>0</v>
      </c>
      <c r="G19">
        <v>334</v>
      </c>
      <c r="H19">
        <v>21332</v>
      </c>
      <c r="I19">
        <v>7</v>
      </c>
      <c r="J19">
        <f t="shared" si="0"/>
        <v>0</v>
      </c>
    </row>
    <row r="20" spans="1:10" x14ac:dyDescent="0.25">
      <c r="A20" t="s">
        <v>27</v>
      </c>
      <c r="B20">
        <v>170</v>
      </c>
      <c r="C20">
        <v>6</v>
      </c>
      <c r="D20">
        <v>93339232.134739995</v>
      </c>
      <c r="E20">
        <v>0</v>
      </c>
      <c r="F20">
        <v>0</v>
      </c>
      <c r="G20">
        <v>519</v>
      </c>
      <c r="H20">
        <v>103936</v>
      </c>
      <c r="I20">
        <v>7</v>
      </c>
      <c r="J20">
        <f t="shared" si="0"/>
        <v>0</v>
      </c>
    </row>
    <row r="21" spans="1:10" x14ac:dyDescent="0.25">
      <c r="A21" t="s">
        <v>28</v>
      </c>
      <c r="B21">
        <v>738</v>
      </c>
      <c r="C21">
        <v>6</v>
      </c>
      <c r="D21">
        <v>676312.21311999997</v>
      </c>
      <c r="E21">
        <v>40</v>
      </c>
      <c r="G21">
        <v>2659</v>
      </c>
      <c r="H21">
        <v>6424871</v>
      </c>
      <c r="I21">
        <v>7</v>
      </c>
      <c r="J21">
        <f t="shared" si="0"/>
        <v>0</v>
      </c>
    </row>
    <row r="22" spans="1:10" x14ac:dyDescent="0.25">
      <c r="A22" t="s">
        <v>29</v>
      </c>
      <c r="B22">
        <v>866</v>
      </c>
      <c r="C22">
        <v>6</v>
      </c>
      <c r="D22">
        <v>1477454.6941199999</v>
      </c>
      <c r="E22">
        <v>97</v>
      </c>
      <c r="G22">
        <v>1809</v>
      </c>
      <c r="H22">
        <v>16246274</v>
      </c>
      <c r="I22">
        <v>7</v>
      </c>
      <c r="J22">
        <f t="shared" si="0"/>
        <v>0</v>
      </c>
    </row>
    <row r="23" spans="1:10" x14ac:dyDescent="0.25">
      <c r="A23" t="s">
        <v>30</v>
      </c>
      <c r="B23">
        <v>115</v>
      </c>
      <c r="C23">
        <v>6</v>
      </c>
      <c r="D23">
        <v>41866.811699999998</v>
      </c>
      <c r="E23">
        <v>0</v>
      </c>
      <c r="F23">
        <v>0</v>
      </c>
      <c r="G23">
        <v>102</v>
      </c>
      <c r="H23">
        <v>18649</v>
      </c>
      <c r="I23">
        <v>2</v>
      </c>
      <c r="J23">
        <f t="shared" si="0"/>
        <v>3</v>
      </c>
    </row>
    <row r="24" spans="1:10" x14ac:dyDescent="0.25">
      <c r="A24" t="s">
        <v>31</v>
      </c>
      <c r="B24">
        <v>97</v>
      </c>
      <c r="C24">
        <v>6</v>
      </c>
      <c r="D24">
        <v>343646.65677</v>
      </c>
      <c r="E24">
        <v>0</v>
      </c>
      <c r="F24">
        <v>0</v>
      </c>
      <c r="G24">
        <v>183</v>
      </c>
      <c r="H24">
        <v>6872</v>
      </c>
      <c r="I24">
        <v>7</v>
      </c>
      <c r="J24">
        <f t="shared" si="0"/>
        <v>0</v>
      </c>
    </row>
    <row r="25" spans="1:10" x14ac:dyDescent="0.25">
      <c r="A25" t="s">
        <v>32</v>
      </c>
      <c r="B25">
        <v>253</v>
      </c>
      <c r="C25">
        <v>6</v>
      </c>
      <c r="D25">
        <v>136.17642000000001</v>
      </c>
      <c r="E25">
        <v>1</v>
      </c>
      <c r="G25">
        <v>974</v>
      </c>
      <c r="H25">
        <v>270239</v>
      </c>
      <c r="I25">
        <v>7</v>
      </c>
      <c r="J25">
        <f t="shared" si="0"/>
        <v>0</v>
      </c>
    </row>
    <row r="26" spans="1:10" x14ac:dyDescent="0.25">
      <c r="A26" t="s">
        <v>33</v>
      </c>
      <c r="B26">
        <v>367</v>
      </c>
      <c r="C26">
        <v>6</v>
      </c>
      <c r="D26">
        <v>89853060.744139999</v>
      </c>
      <c r="E26">
        <v>3</v>
      </c>
      <c r="G26">
        <v>1157</v>
      </c>
      <c r="H26">
        <v>675562</v>
      </c>
      <c r="I26">
        <v>7</v>
      </c>
      <c r="J26">
        <f t="shared" si="0"/>
        <v>0</v>
      </c>
    </row>
    <row r="27" spans="1:10" x14ac:dyDescent="0.25">
      <c r="A27" t="s">
        <v>34</v>
      </c>
      <c r="B27">
        <v>263</v>
      </c>
      <c r="C27">
        <v>6</v>
      </c>
      <c r="D27">
        <v>4.0999999999999999E-4</v>
      </c>
      <c r="E27">
        <v>1</v>
      </c>
      <c r="G27">
        <v>903</v>
      </c>
      <c r="H27">
        <v>364509</v>
      </c>
      <c r="I27">
        <v>7</v>
      </c>
      <c r="J27">
        <f t="shared" si="0"/>
        <v>7</v>
      </c>
    </row>
    <row r="28" spans="1:10" x14ac:dyDescent="0.25">
      <c r="A28" t="s">
        <v>35</v>
      </c>
      <c r="B28">
        <v>263</v>
      </c>
      <c r="C28">
        <v>6</v>
      </c>
      <c r="D28">
        <v>9.3000000000000005E-4</v>
      </c>
      <c r="E28">
        <v>1</v>
      </c>
      <c r="G28">
        <v>507</v>
      </c>
      <c r="H28">
        <v>264444</v>
      </c>
      <c r="I28">
        <v>7</v>
      </c>
      <c r="J28">
        <f t="shared" si="0"/>
        <v>7</v>
      </c>
    </row>
    <row r="29" spans="1:10" x14ac:dyDescent="0.25">
      <c r="A29" t="s">
        <v>36</v>
      </c>
      <c r="B29">
        <v>253</v>
      </c>
      <c r="C29">
        <v>6</v>
      </c>
      <c r="D29">
        <v>3.1502300000000001</v>
      </c>
      <c r="E29">
        <v>0</v>
      </c>
      <c r="G29">
        <v>719</v>
      </c>
      <c r="H29">
        <v>185694</v>
      </c>
      <c r="I29">
        <v>7</v>
      </c>
      <c r="J29">
        <f t="shared" si="0"/>
        <v>0</v>
      </c>
    </row>
    <row r="30" spans="1:10" x14ac:dyDescent="0.25">
      <c r="A30" t="s">
        <v>37</v>
      </c>
      <c r="B30">
        <v>253</v>
      </c>
      <c r="C30">
        <v>6</v>
      </c>
      <c r="D30">
        <v>5.7162300000000004</v>
      </c>
      <c r="E30">
        <v>0</v>
      </c>
      <c r="G30">
        <v>816</v>
      </c>
      <c r="H30">
        <v>185572</v>
      </c>
      <c r="I30">
        <v>7</v>
      </c>
      <c r="J30">
        <f t="shared" si="0"/>
        <v>0</v>
      </c>
    </row>
    <row r="31" spans="1:10" x14ac:dyDescent="0.25">
      <c r="A31" t="s">
        <v>38</v>
      </c>
      <c r="B31">
        <v>253</v>
      </c>
      <c r="C31">
        <v>6</v>
      </c>
      <c r="D31">
        <v>9.2608300000000003</v>
      </c>
      <c r="E31">
        <v>1</v>
      </c>
      <c r="G31">
        <v>618</v>
      </c>
      <c r="H31">
        <v>354703</v>
      </c>
      <c r="I31">
        <v>7</v>
      </c>
      <c r="J31">
        <f t="shared" si="0"/>
        <v>0</v>
      </c>
    </row>
    <row r="32" spans="1:10" x14ac:dyDescent="0.25">
      <c r="A32" t="s">
        <v>39</v>
      </c>
      <c r="B32">
        <v>263</v>
      </c>
      <c r="C32">
        <v>6</v>
      </c>
      <c r="D32">
        <v>1.39E-3</v>
      </c>
      <c r="E32">
        <v>1</v>
      </c>
      <c r="G32">
        <v>580</v>
      </c>
      <c r="H32">
        <v>291430</v>
      </c>
      <c r="I32">
        <v>7</v>
      </c>
      <c r="J32">
        <f t="shared" si="0"/>
        <v>7</v>
      </c>
    </row>
    <row r="33" spans="1:10" x14ac:dyDescent="0.25">
      <c r="A33" t="s">
        <v>40</v>
      </c>
      <c r="B33">
        <v>253</v>
      </c>
      <c r="C33">
        <v>6</v>
      </c>
      <c r="D33">
        <v>68.210800000000006</v>
      </c>
      <c r="E33">
        <v>0</v>
      </c>
      <c r="G33">
        <v>760</v>
      </c>
      <c r="H33">
        <v>214249</v>
      </c>
      <c r="I33">
        <v>7</v>
      </c>
      <c r="J33">
        <f t="shared" si="0"/>
        <v>0</v>
      </c>
    </row>
    <row r="34" spans="1:10" x14ac:dyDescent="0.25">
      <c r="A34" t="s">
        <v>41</v>
      </c>
      <c r="B34">
        <v>253</v>
      </c>
      <c r="C34">
        <v>6</v>
      </c>
      <c r="D34">
        <v>61.307380000000002</v>
      </c>
      <c r="E34">
        <v>1</v>
      </c>
      <c r="G34">
        <v>784</v>
      </c>
      <c r="H34">
        <v>301279</v>
      </c>
      <c r="I34">
        <v>7</v>
      </c>
      <c r="J34">
        <f t="shared" si="0"/>
        <v>0</v>
      </c>
    </row>
    <row r="35" spans="1:10" x14ac:dyDescent="0.25">
      <c r="A35" t="s">
        <v>42</v>
      </c>
      <c r="B35">
        <v>253</v>
      </c>
      <c r="C35">
        <v>6</v>
      </c>
      <c r="D35">
        <v>84.234819999999999</v>
      </c>
      <c r="E35">
        <v>0</v>
      </c>
      <c r="G35">
        <v>824</v>
      </c>
      <c r="H35">
        <v>225076</v>
      </c>
      <c r="I35">
        <v>7</v>
      </c>
      <c r="J35">
        <f t="shared" si="0"/>
        <v>0</v>
      </c>
    </row>
    <row r="36" spans="1:10" x14ac:dyDescent="0.25">
      <c r="A36" t="s">
        <v>43</v>
      </c>
      <c r="B36">
        <v>253</v>
      </c>
      <c r="C36">
        <v>6</v>
      </c>
      <c r="D36">
        <v>7.59185</v>
      </c>
      <c r="E36">
        <v>0</v>
      </c>
      <c r="G36">
        <v>686</v>
      </c>
      <c r="H36">
        <v>132486</v>
      </c>
      <c r="I36">
        <v>7</v>
      </c>
      <c r="J36">
        <f t="shared" si="0"/>
        <v>0</v>
      </c>
    </row>
    <row r="37" spans="1:10" x14ac:dyDescent="0.25">
      <c r="A37" t="s">
        <v>44</v>
      </c>
      <c r="B37">
        <v>263</v>
      </c>
      <c r="C37">
        <v>6</v>
      </c>
      <c r="D37">
        <v>29.102270000000001</v>
      </c>
      <c r="E37">
        <v>1</v>
      </c>
      <c r="G37">
        <v>687</v>
      </c>
      <c r="H37">
        <v>263442</v>
      </c>
      <c r="I37">
        <v>7</v>
      </c>
      <c r="J37">
        <f t="shared" si="0"/>
        <v>0</v>
      </c>
    </row>
    <row r="39" spans="1:10" x14ac:dyDescent="0.25">
      <c r="A39" t="s">
        <v>45</v>
      </c>
      <c r="B39" t="s">
        <v>1</v>
      </c>
      <c r="C39" t="s">
        <v>2</v>
      </c>
      <c r="D39" t="s">
        <v>46</v>
      </c>
      <c r="E39" t="s">
        <v>47</v>
      </c>
      <c r="F39" t="s">
        <v>48</v>
      </c>
      <c r="G39" t="s">
        <v>4</v>
      </c>
      <c r="H39" t="s">
        <v>5</v>
      </c>
      <c r="I39" t="s">
        <v>6</v>
      </c>
    </row>
    <row r="40" spans="1:10" x14ac:dyDescent="0.25">
      <c r="A40" t="s">
        <v>0</v>
      </c>
      <c r="B40">
        <f>B37</f>
        <v>263</v>
      </c>
      <c r="C40">
        <v>8</v>
      </c>
      <c r="D40">
        <v>2025.1802</v>
      </c>
      <c r="E40">
        <v>0</v>
      </c>
      <c r="F40">
        <v>0</v>
      </c>
      <c r="G40">
        <v>362</v>
      </c>
      <c r="H40">
        <v>7174</v>
      </c>
      <c r="I40">
        <v>7</v>
      </c>
    </row>
    <row r="41" spans="1:10" x14ac:dyDescent="0.25">
      <c r="A41" t="s">
        <v>7</v>
      </c>
      <c r="B41">
        <f>B40</f>
        <v>263</v>
      </c>
      <c r="C41">
        <v>8</v>
      </c>
      <c r="D41">
        <v>1819.64571</v>
      </c>
      <c r="E41">
        <v>0</v>
      </c>
      <c r="F41">
        <v>0</v>
      </c>
      <c r="G41">
        <v>355</v>
      </c>
      <c r="H41">
        <v>11831</v>
      </c>
      <c r="I41">
        <v>7</v>
      </c>
    </row>
    <row r="42" spans="1:10" x14ac:dyDescent="0.25">
      <c r="A42" t="s">
        <v>8</v>
      </c>
      <c r="B42">
        <f>B41</f>
        <v>263</v>
      </c>
      <c r="C42">
        <v>8</v>
      </c>
      <c r="D42">
        <v>1108.90806</v>
      </c>
      <c r="E42">
        <v>0</v>
      </c>
      <c r="F42">
        <v>0</v>
      </c>
      <c r="G42">
        <v>425</v>
      </c>
      <c r="H42">
        <v>20198</v>
      </c>
      <c r="I42">
        <v>7</v>
      </c>
    </row>
    <row r="43" spans="1:10" x14ac:dyDescent="0.25">
      <c r="A43" t="s">
        <v>9</v>
      </c>
      <c r="B43">
        <f>B42</f>
        <v>263</v>
      </c>
      <c r="C43">
        <v>8</v>
      </c>
      <c r="D43">
        <v>976.01432</v>
      </c>
      <c r="E43">
        <v>0</v>
      </c>
      <c r="F43">
        <v>0</v>
      </c>
      <c r="G43">
        <v>431</v>
      </c>
      <c r="H43">
        <v>20765</v>
      </c>
      <c r="I43">
        <v>7</v>
      </c>
    </row>
    <row r="44" spans="1:10" x14ac:dyDescent="0.25">
      <c r="A44" t="s">
        <v>10</v>
      </c>
      <c r="B44">
        <f>B43</f>
        <v>263</v>
      </c>
      <c r="C44">
        <v>8</v>
      </c>
      <c r="D44">
        <v>1119.5927099999999</v>
      </c>
      <c r="E44">
        <v>0</v>
      </c>
      <c r="F44">
        <v>0</v>
      </c>
      <c r="G44">
        <v>437</v>
      </c>
      <c r="H44">
        <v>13336</v>
      </c>
      <c r="I44">
        <v>7</v>
      </c>
    </row>
    <row r="45" spans="1:10" x14ac:dyDescent="0.25">
      <c r="A45" t="s">
        <v>11</v>
      </c>
      <c r="B45">
        <f>B44</f>
        <v>263</v>
      </c>
      <c r="C45">
        <v>8</v>
      </c>
      <c r="D45">
        <v>1395.69139</v>
      </c>
      <c r="E45">
        <v>0</v>
      </c>
      <c r="F45">
        <v>0</v>
      </c>
      <c r="G45">
        <v>401</v>
      </c>
      <c r="H45">
        <v>16108</v>
      </c>
      <c r="I45">
        <v>7</v>
      </c>
    </row>
    <row r="46" spans="1:10" x14ac:dyDescent="0.25">
      <c r="A46" t="s">
        <v>12</v>
      </c>
      <c r="B46">
        <f>B45</f>
        <v>263</v>
      </c>
      <c r="C46">
        <v>8</v>
      </c>
      <c r="D46">
        <v>959.84159999999997</v>
      </c>
      <c r="E46">
        <v>0</v>
      </c>
      <c r="F46">
        <v>0</v>
      </c>
      <c r="G46">
        <v>237</v>
      </c>
      <c r="H46">
        <v>6173</v>
      </c>
      <c r="I46">
        <v>7</v>
      </c>
    </row>
    <row r="47" spans="1:10" x14ac:dyDescent="0.25">
      <c r="A47" t="s">
        <v>13</v>
      </c>
      <c r="B47">
        <f>B46</f>
        <v>263</v>
      </c>
      <c r="C47">
        <v>8</v>
      </c>
      <c r="D47">
        <v>1289.78763</v>
      </c>
      <c r="E47">
        <v>0</v>
      </c>
      <c r="F47">
        <v>0</v>
      </c>
      <c r="G47">
        <v>269</v>
      </c>
      <c r="H47">
        <v>6088</v>
      </c>
      <c r="I47">
        <v>7</v>
      </c>
    </row>
    <row r="48" spans="1:10" x14ac:dyDescent="0.25">
      <c r="A48" t="s">
        <v>14</v>
      </c>
      <c r="B48">
        <f>B47</f>
        <v>263</v>
      </c>
      <c r="C48">
        <v>8</v>
      </c>
      <c r="D48">
        <v>1580.99199</v>
      </c>
      <c r="E48">
        <v>0</v>
      </c>
      <c r="F48">
        <v>0</v>
      </c>
      <c r="G48">
        <v>171</v>
      </c>
      <c r="H48">
        <v>2953</v>
      </c>
      <c r="I48">
        <v>5</v>
      </c>
    </row>
    <row r="49" spans="1:9" x14ac:dyDescent="0.25">
      <c r="A49" t="s">
        <v>15</v>
      </c>
      <c r="B49">
        <f>B48</f>
        <v>263</v>
      </c>
      <c r="C49">
        <v>8</v>
      </c>
      <c r="D49">
        <v>1391.7179799999999</v>
      </c>
      <c r="E49">
        <v>0</v>
      </c>
      <c r="F49">
        <v>0</v>
      </c>
      <c r="G49">
        <v>240</v>
      </c>
      <c r="H49">
        <v>4093</v>
      </c>
      <c r="I49">
        <v>7</v>
      </c>
    </row>
    <row r="50" spans="1:9" x14ac:dyDescent="0.25">
      <c r="A50" t="s">
        <v>16</v>
      </c>
      <c r="B50">
        <f>B49</f>
        <v>263</v>
      </c>
      <c r="C50">
        <v>8</v>
      </c>
      <c r="D50">
        <v>707.71519000000001</v>
      </c>
      <c r="E50">
        <v>0</v>
      </c>
      <c r="F50">
        <v>0</v>
      </c>
      <c r="G50">
        <v>229</v>
      </c>
      <c r="H50">
        <v>6110</v>
      </c>
      <c r="I50">
        <v>7</v>
      </c>
    </row>
    <row r="51" spans="1:9" x14ac:dyDescent="0.25">
      <c r="A51" t="s">
        <v>17</v>
      </c>
      <c r="B51">
        <v>1006</v>
      </c>
      <c r="C51">
        <v>8</v>
      </c>
      <c r="D51">
        <v>10587.689979999999</v>
      </c>
      <c r="E51">
        <v>71</v>
      </c>
      <c r="G51">
        <v>2055</v>
      </c>
      <c r="H51">
        <v>4883838</v>
      </c>
      <c r="I51">
        <v>7</v>
      </c>
    </row>
    <row r="52" spans="1:9" x14ac:dyDescent="0.25">
      <c r="A52" t="s">
        <v>21</v>
      </c>
      <c r="B52">
        <f>B51</f>
        <v>1006</v>
      </c>
      <c r="C52">
        <v>8</v>
      </c>
      <c r="D52">
        <v>1730.1180300000001</v>
      </c>
      <c r="E52">
        <v>0</v>
      </c>
      <c r="G52">
        <v>80</v>
      </c>
      <c r="H52">
        <v>1213</v>
      </c>
      <c r="I52">
        <v>1</v>
      </c>
    </row>
    <row r="53" spans="1:9" x14ac:dyDescent="0.25">
      <c r="A53" t="s">
        <v>22</v>
      </c>
      <c r="B53">
        <v>126</v>
      </c>
      <c r="C53">
        <v>8</v>
      </c>
      <c r="D53">
        <v>1228.21128</v>
      </c>
      <c r="E53">
        <v>0</v>
      </c>
      <c r="G53">
        <v>125</v>
      </c>
      <c r="H53">
        <v>6303</v>
      </c>
      <c r="I53">
        <v>3</v>
      </c>
    </row>
    <row r="54" spans="1:9" x14ac:dyDescent="0.25">
      <c r="A54" t="s">
        <v>23</v>
      </c>
      <c r="B54">
        <v>71</v>
      </c>
      <c r="C54">
        <v>8</v>
      </c>
      <c r="D54">
        <v>977.77576999999997</v>
      </c>
      <c r="E54">
        <v>0</v>
      </c>
      <c r="G54">
        <v>85</v>
      </c>
      <c r="H54">
        <v>1123</v>
      </c>
      <c r="I54">
        <v>4</v>
      </c>
    </row>
    <row r="55" spans="1:9" x14ac:dyDescent="0.25">
      <c r="A55" t="s">
        <v>24</v>
      </c>
      <c r="B55">
        <v>126</v>
      </c>
      <c r="C55">
        <v>8</v>
      </c>
      <c r="D55">
        <v>723.20570999999995</v>
      </c>
      <c r="E55">
        <v>0</v>
      </c>
      <c r="G55">
        <v>225</v>
      </c>
      <c r="H55">
        <v>14281</v>
      </c>
      <c r="I55">
        <v>7</v>
      </c>
    </row>
    <row r="56" spans="1:9" x14ac:dyDescent="0.25">
      <c r="A56" t="s">
        <v>25</v>
      </c>
      <c r="B56">
        <v>123</v>
      </c>
      <c r="C56">
        <v>8</v>
      </c>
      <c r="D56">
        <v>1072.62167</v>
      </c>
      <c r="E56">
        <v>0</v>
      </c>
      <c r="G56">
        <v>305</v>
      </c>
      <c r="H56">
        <v>15793</v>
      </c>
      <c r="I56">
        <v>7</v>
      </c>
    </row>
    <row r="57" spans="1:9" x14ac:dyDescent="0.25">
      <c r="A57" t="s">
        <v>26</v>
      </c>
      <c r="B57">
        <v>123</v>
      </c>
      <c r="C57">
        <v>8</v>
      </c>
      <c r="D57" t="e" cm="1">
        <f t="array" ref="D57">-inf</f>
        <v>#NAME?</v>
      </c>
      <c r="E57">
        <v>0</v>
      </c>
      <c r="G57">
        <v>0</v>
      </c>
      <c r="H57">
        <v>827</v>
      </c>
      <c r="I57">
        <v>7</v>
      </c>
    </row>
    <row r="58" spans="1:9" x14ac:dyDescent="0.25">
      <c r="A58" t="s">
        <v>27</v>
      </c>
      <c r="B58">
        <v>170</v>
      </c>
      <c r="C58">
        <v>8</v>
      </c>
      <c r="D58">
        <v>2563.7106699999999</v>
      </c>
      <c r="E58">
        <v>0</v>
      </c>
      <c r="G58">
        <v>574</v>
      </c>
      <c r="H58">
        <v>19364</v>
      </c>
      <c r="I58">
        <v>7</v>
      </c>
    </row>
    <row r="59" spans="1:9" x14ac:dyDescent="0.25">
      <c r="A59" t="s">
        <v>28</v>
      </c>
      <c r="B59">
        <v>738</v>
      </c>
      <c r="C59">
        <v>8</v>
      </c>
      <c r="D59">
        <v>6547.8270499999999</v>
      </c>
      <c r="E59">
        <v>28</v>
      </c>
      <c r="G59">
        <v>1911</v>
      </c>
      <c r="H59">
        <v>2785509</v>
      </c>
      <c r="I59">
        <v>7</v>
      </c>
    </row>
    <row r="60" spans="1:9" x14ac:dyDescent="0.25">
      <c r="A60" t="s">
        <v>29</v>
      </c>
      <c r="B60">
        <v>866</v>
      </c>
      <c r="C60">
        <v>8</v>
      </c>
      <c r="D60">
        <v>8097.7355600000001</v>
      </c>
      <c r="E60">
        <v>38</v>
      </c>
      <c r="G60">
        <v>2590</v>
      </c>
      <c r="H60">
        <v>3831071</v>
      </c>
      <c r="I60">
        <v>7</v>
      </c>
    </row>
    <row r="61" spans="1:9" x14ac:dyDescent="0.25">
      <c r="A61" t="s">
        <v>30</v>
      </c>
      <c r="B61">
        <v>115</v>
      </c>
      <c r="C61">
        <v>8</v>
      </c>
      <c r="D61">
        <v>916.15124000000003</v>
      </c>
      <c r="E61">
        <v>0</v>
      </c>
      <c r="G61">
        <v>222</v>
      </c>
      <c r="H61">
        <v>3529</v>
      </c>
      <c r="I61">
        <v>5</v>
      </c>
    </row>
    <row r="62" spans="1:9" x14ac:dyDescent="0.25">
      <c r="A62" t="s">
        <v>31</v>
      </c>
      <c r="B62">
        <v>97</v>
      </c>
      <c r="C62">
        <v>8</v>
      </c>
      <c r="D62">
        <v>943.33713</v>
      </c>
      <c r="E62">
        <v>0</v>
      </c>
      <c r="G62">
        <v>194</v>
      </c>
      <c r="H62">
        <v>5354</v>
      </c>
      <c r="I62">
        <v>7</v>
      </c>
    </row>
    <row r="63" spans="1:9" x14ac:dyDescent="0.25">
      <c r="A63" t="s">
        <v>32</v>
      </c>
      <c r="B63">
        <v>253</v>
      </c>
      <c r="C63">
        <v>8</v>
      </c>
      <c r="D63">
        <v>339.15602999999999</v>
      </c>
      <c r="E63">
        <v>0</v>
      </c>
      <c r="G63">
        <v>857</v>
      </c>
      <c r="H63">
        <v>220920</v>
      </c>
      <c r="I63">
        <v>7</v>
      </c>
    </row>
    <row r="64" spans="1:9" x14ac:dyDescent="0.25">
      <c r="A64" t="s">
        <v>33</v>
      </c>
      <c r="B64">
        <v>367</v>
      </c>
      <c r="C64">
        <v>8</v>
      </c>
      <c r="D64">
        <v>5036.56538</v>
      </c>
      <c r="E64">
        <v>2</v>
      </c>
      <c r="G64">
        <v>810</v>
      </c>
      <c r="H64">
        <v>263543</v>
      </c>
      <c r="I64">
        <v>7</v>
      </c>
    </row>
    <row r="65" spans="1:9" x14ac:dyDescent="0.25">
      <c r="A65" t="s">
        <v>34</v>
      </c>
      <c r="B65">
        <v>263</v>
      </c>
      <c r="C65">
        <v>8</v>
      </c>
      <c r="D65">
        <v>-2269.4554499999999</v>
      </c>
      <c r="E65">
        <v>0</v>
      </c>
      <c r="G65">
        <v>0</v>
      </c>
      <c r="H65">
        <v>258</v>
      </c>
      <c r="I65">
        <v>0</v>
      </c>
    </row>
    <row r="66" spans="1:9" x14ac:dyDescent="0.25">
      <c r="A66" t="s">
        <v>35</v>
      </c>
      <c r="B66">
        <v>263</v>
      </c>
      <c r="C66">
        <v>8</v>
      </c>
      <c r="D66">
        <v>-2215.1211199999998</v>
      </c>
      <c r="E66">
        <v>0</v>
      </c>
      <c r="G66">
        <v>0</v>
      </c>
      <c r="H66">
        <v>258</v>
      </c>
      <c r="I66">
        <v>0</v>
      </c>
    </row>
    <row r="67" spans="1:9" x14ac:dyDescent="0.25">
      <c r="A67" t="s">
        <v>36</v>
      </c>
      <c r="B67">
        <v>253</v>
      </c>
      <c r="C67">
        <v>8</v>
      </c>
      <c r="D67">
        <v>-324.54599000000002</v>
      </c>
      <c r="E67">
        <v>0</v>
      </c>
      <c r="G67">
        <v>0</v>
      </c>
      <c r="H67">
        <v>8948</v>
      </c>
      <c r="I67">
        <v>7</v>
      </c>
    </row>
    <row r="68" spans="1:9" x14ac:dyDescent="0.25">
      <c r="A68" t="s">
        <v>37</v>
      </c>
      <c r="B68">
        <v>253</v>
      </c>
      <c r="C68">
        <v>8</v>
      </c>
      <c r="D68">
        <v>-249.32962000000001</v>
      </c>
      <c r="E68">
        <v>0</v>
      </c>
      <c r="G68">
        <v>0</v>
      </c>
      <c r="H68">
        <v>8102</v>
      </c>
      <c r="I68">
        <v>7</v>
      </c>
    </row>
    <row r="69" spans="1:9" x14ac:dyDescent="0.25">
      <c r="A69" t="s">
        <v>38</v>
      </c>
      <c r="B69">
        <v>253</v>
      </c>
      <c r="C69">
        <v>8</v>
      </c>
      <c r="D69">
        <v>-198.5247</v>
      </c>
      <c r="E69">
        <v>0</v>
      </c>
      <c r="G69">
        <v>0</v>
      </c>
      <c r="H69">
        <v>3210</v>
      </c>
      <c r="I69">
        <v>7</v>
      </c>
    </row>
    <row r="70" spans="1:9" x14ac:dyDescent="0.25">
      <c r="A70" t="s">
        <v>39</v>
      </c>
      <c r="B70">
        <v>263</v>
      </c>
      <c r="C70">
        <v>8</v>
      </c>
      <c r="D70">
        <v>-2038.3657800000001</v>
      </c>
      <c r="E70">
        <v>0</v>
      </c>
      <c r="G70">
        <v>0</v>
      </c>
      <c r="H70">
        <v>258</v>
      </c>
      <c r="I70">
        <v>0</v>
      </c>
    </row>
    <row r="71" spans="1:9" x14ac:dyDescent="0.25">
      <c r="A71" t="s">
        <v>40</v>
      </c>
      <c r="B71">
        <v>253</v>
      </c>
      <c r="C71">
        <v>8</v>
      </c>
      <c r="D71">
        <v>169.3253</v>
      </c>
      <c r="E71">
        <v>0</v>
      </c>
      <c r="G71">
        <v>1058</v>
      </c>
      <c r="H71">
        <v>215718</v>
      </c>
      <c r="I71">
        <v>7</v>
      </c>
    </row>
    <row r="72" spans="1:9" x14ac:dyDescent="0.25">
      <c r="A72" t="s">
        <v>41</v>
      </c>
      <c r="B72">
        <v>253</v>
      </c>
      <c r="C72">
        <v>8</v>
      </c>
      <c r="D72">
        <v>125.98056</v>
      </c>
      <c r="E72">
        <v>0</v>
      </c>
      <c r="G72">
        <v>1040</v>
      </c>
      <c r="H72">
        <v>310517</v>
      </c>
      <c r="I72">
        <v>7</v>
      </c>
    </row>
    <row r="73" spans="1:9" x14ac:dyDescent="0.25">
      <c r="A73" t="s">
        <v>42</v>
      </c>
      <c r="B73">
        <v>253</v>
      </c>
      <c r="C73">
        <v>8</v>
      </c>
      <c r="D73">
        <v>193.62531999999999</v>
      </c>
      <c r="E73">
        <v>0</v>
      </c>
      <c r="G73">
        <v>1103</v>
      </c>
      <c r="H73">
        <v>276101</v>
      </c>
      <c r="I73">
        <v>7</v>
      </c>
    </row>
    <row r="74" spans="1:9" x14ac:dyDescent="0.25">
      <c r="A74" t="s">
        <v>43</v>
      </c>
      <c r="B74">
        <v>253</v>
      </c>
      <c r="C74">
        <v>8</v>
      </c>
      <c r="D74">
        <v>-321.84192000000002</v>
      </c>
      <c r="E74">
        <v>0</v>
      </c>
      <c r="G74">
        <v>0</v>
      </c>
      <c r="H74">
        <v>3631</v>
      </c>
      <c r="I74">
        <v>7</v>
      </c>
    </row>
    <row r="75" spans="1:9" x14ac:dyDescent="0.25">
      <c r="A75" t="s">
        <v>44</v>
      </c>
      <c r="B75">
        <v>263</v>
      </c>
      <c r="C75">
        <v>8</v>
      </c>
      <c r="D75">
        <v>-50.432040000000001</v>
      </c>
      <c r="E75">
        <v>0</v>
      </c>
      <c r="G75">
        <v>0</v>
      </c>
      <c r="H75">
        <v>2896</v>
      </c>
      <c r="I75">
        <v>7</v>
      </c>
    </row>
  </sheetData>
  <sortState xmlns:xlrd2="http://schemas.microsoft.com/office/spreadsheetml/2017/richdata2" ref="A2:R75">
    <sortCondition ref="C8:C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Maniezzo</dc:creator>
  <cp:lastModifiedBy>Vittorio Maniezzo</cp:lastModifiedBy>
  <dcterms:created xsi:type="dcterms:W3CDTF">2026-01-20T10:11:11Z</dcterms:created>
  <dcterms:modified xsi:type="dcterms:W3CDTF">2026-01-20T11:09:24Z</dcterms:modified>
</cp:coreProperties>
</file>