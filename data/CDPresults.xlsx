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it\segmentation\data\"/>
    </mc:Choice>
  </mc:AlternateContent>
  <xr:revisionPtr revIDLastSave="0" documentId="13_ncr:1_{D81D8210-A605-4308-9707-4C6CFF1D92ED}" xr6:coauthVersionLast="47" xr6:coauthVersionMax="47" xr10:uidLastSave="{00000000-0000-0000-0000-000000000000}"/>
  <bookViews>
    <workbookView xWindow="32730" yWindow="135" windowWidth="23250" windowHeight="15225" activeTab="1" xr2:uid="{CBDF1A6D-5BCF-4736-9138-AFBBECA9C390}"/>
  </bookViews>
  <sheets>
    <sheet name="Detail" sheetId="1" r:id="rId1"/>
    <sheet name="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2" i="1" l="1"/>
  <c r="J132" i="1"/>
  <c r="P132" i="1"/>
  <c r="O132" i="1"/>
  <c r="N132" i="1"/>
  <c r="L132" i="1"/>
  <c r="K132" i="1"/>
  <c r="I132" i="1"/>
  <c r="P62" i="1"/>
  <c r="O62" i="1"/>
  <c r="N62" i="1"/>
  <c r="M62" i="1"/>
  <c r="L62" i="1"/>
  <c r="K62" i="1"/>
  <c r="J62" i="1"/>
  <c r="I62" i="1"/>
  <c r="P127" i="1"/>
  <c r="O127" i="1"/>
  <c r="N127" i="1"/>
  <c r="M127" i="1"/>
  <c r="L127" i="1"/>
  <c r="K127" i="1"/>
  <c r="J127" i="1"/>
  <c r="I127" i="1"/>
  <c r="P122" i="1"/>
  <c r="O122" i="1"/>
  <c r="N122" i="1"/>
  <c r="M122" i="1"/>
  <c r="L122" i="1"/>
  <c r="K122" i="1"/>
  <c r="J122" i="1"/>
  <c r="I122" i="1"/>
  <c r="P117" i="1"/>
  <c r="O117" i="1"/>
  <c r="N117" i="1"/>
  <c r="M117" i="1"/>
  <c r="L117" i="1"/>
  <c r="K117" i="1"/>
  <c r="J117" i="1"/>
  <c r="I117" i="1"/>
  <c r="P112" i="1"/>
  <c r="O112" i="1"/>
  <c r="N112" i="1"/>
  <c r="M112" i="1"/>
  <c r="L112" i="1"/>
  <c r="K112" i="1"/>
  <c r="J112" i="1"/>
  <c r="I112" i="1"/>
  <c r="P107" i="1"/>
  <c r="O107" i="1"/>
  <c r="N107" i="1"/>
  <c r="M107" i="1"/>
  <c r="L107" i="1"/>
  <c r="K107" i="1"/>
  <c r="J107" i="1"/>
  <c r="I107" i="1"/>
  <c r="P102" i="1"/>
  <c r="O102" i="1"/>
  <c r="N102" i="1"/>
  <c r="M102" i="1"/>
  <c r="L102" i="1"/>
  <c r="K102" i="1"/>
  <c r="J102" i="1"/>
  <c r="I102" i="1"/>
  <c r="P97" i="1"/>
  <c r="O97" i="1"/>
  <c r="N97" i="1"/>
  <c r="M97" i="1"/>
  <c r="L97" i="1"/>
  <c r="K97" i="1"/>
  <c r="J97" i="1"/>
  <c r="I97" i="1"/>
  <c r="P92" i="1"/>
  <c r="O92" i="1"/>
  <c r="N92" i="1"/>
  <c r="M92" i="1"/>
  <c r="L92" i="1"/>
  <c r="K92" i="1"/>
  <c r="J92" i="1"/>
  <c r="I92" i="1"/>
  <c r="P87" i="1"/>
  <c r="O87" i="1"/>
  <c r="N87" i="1"/>
  <c r="M87" i="1"/>
  <c r="L87" i="1"/>
  <c r="K87" i="1"/>
  <c r="J87" i="1"/>
  <c r="I87" i="1"/>
  <c r="P82" i="1"/>
  <c r="O82" i="1"/>
  <c r="N82" i="1"/>
  <c r="M82" i="1"/>
  <c r="L82" i="1"/>
  <c r="K82" i="1"/>
  <c r="J82" i="1"/>
  <c r="I82" i="1"/>
  <c r="P77" i="1"/>
  <c r="O77" i="1"/>
  <c r="N77" i="1"/>
  <c r="M77" i="1"/>
  <c r="L77" i="1"/>
  <c r="K77" i="1"/>
  <c r="J77" i="1"/>
  <c r="I77" i="1"/>
  <c r="P72" i="1"/>
  <c r="O72" i="1"/>
  <c r="N72" i="1"/>
  <c r="M72" i="1"/>
  <c r="L72" i="1"/>
  <c r="K72" i="1"/>
  <c r="J72" i="1"/>
  <c r="I72" i="1"/>
  <c r="P57" i="1"/>
  <c r="O57" i="1"/>
  <c r="N57" i="1"/>
  <c r="M57" i="1"/>
  <c r="L57" i="1"/>
  <c r="K57" i="1"/>
  <c r="J57" i="1"/>
  <c r="I57" i="1"/>
  <c r="P52" i="1"/>
  <c r="O52" i="1"/>
  <c r="N52" i="1"/>
  <c r="M52" i="1"/>
  <c r="L52" i="1"/>
  <c r="K52" i="1"/>
  <c r="J52" i="1"/>
  <c r="I52" i="1"/>
  <c r="P47" i="1"/>
  <c r="O47" i="1"/>
  <c r="N47" i="1"/>
  <c r="M47" i="1"/>
  <c r="L47" i="1"/>
  <c r="K47" i="1"/>
  <c r="J47" i="1"/>
  <c r="I47" i="1"/>
  <c r="P42" i="1"/>
  <c r="O42" i="1"/>
  <c r="N42" i="1"/>
  <c r="M42" i="1"/>
  <c r="L42" i="1"/>
  <c r="K42" i="1"/>
  <c r="J42" i="1"/>
  <c r="I42" i="1"/>
  <c r="P37" i="1"/>
  <c r="O37" i="1"/>
  <c r="N37" i="1"/>
  <c r="M37" i="1"/>
  <c r="L37" i="1"/>
  <c r="K37" i="1"/>
  <c r="J37" i="1"/>
  <c r="I37" i="1"/>
  <c r="P32" i="1"/>
  <c r="O32" i="1"/>
  <c r="N32" i="1"/>
  <c r="M32" i="1"/>
  <c r="L32" i="1"/>
  <c r="K32" i="1"/>
  <c r="J32" i="1"/>
  <c r="I32" i="1"/>
  <c r="P27" i="1"/>
  <c r="O27" i="1"/>
  <c r="N27" i="1"/>
  <c r="M27" i="1"/>
  <c r="L27" i="1"/>
  <c r="K27" i="1"/>
  <c r="J27" i="1"/>
  <c r="I27" i="1"/>
  <c r="P22" i="1"/>
  <c r="O22" i="1"/>
  <c r="N22" i="1"/>
  <c r="M22" i="1"/>
  <c r="L22" i="1"/>
  <c r="K22" i="1"/>
  <c r="J22" i="1"/>
  <c r="I22" i="1"/>
  <c r="P17" i="1"/>
  <c r="O17" i="1"/>
  <c r="N17" i="1"/>
  <c r="M17" i="1"/>
  <c r="L17" i="1"/>
  <c r="K17" i="1"/>
  <c r="J17" i="1"/>
  <c r="I17" i="1"/>
  <c r="P12" i="1"/>
  <c r="O12" i="1"/>
  <c r="N12" i="1"/>
  <c r="M12" i="1"/>
  <c r="L12" i="1"/>
  <c r="K12" i="1"/>
  <c r="J12" i="1"/>
  <c r="I12" i="1"/>
  <c r="P7" i="1"/>
  <c r="O7" i="1"/>
  <c r="N7" i="1"/>
  <c r="M7" i="1"/>
  <c r="L7" i="1"/>
  <c r="K7" i="1"/>
  <c r="J7" i="1"/>
  <c r="I7" i="1"/>
  <c r="P2" i="1"/>
  <c r="O2" i="1"/>
  <c r="N2" i="1"/>
  <c r="M2" i="1"/>
  <c r="L2" i="1"/>
  <c r="K2" i="1"/>
  <c r="J2" i="1"/>
  <c r="I2" i="1"/>
  <c r="A132" i="1"/>
  <c r="A133" i="1" s="1"/>
  <c r="A134" i="1" s="1"/>
  <c r="A135" i="1" s="1"/>
  <c r="A136" i="1" s="1"/>
  <c r="A137" i="1" s="1"/>
  <c r="A138" i="1" s="1"/>
  <c r="A139" i="1" s="1"/>
  <c r="A140" i="1" s="1"/>
  <c r="A141" i="1" s="1"/>
  <c r="A62" i="1"/>
  <c r="A63" i="1" s="1"/>
  <c r="A64" i="1" s="1"/>
  <c r="A65" i="1" s="1"/>
  <c r="A66" i="1" s="1"/>
  <c r="A67" i="1" s="1"/>
  <c r="A68" i="1" s="1"/>
  <c r="A69" i="1" s="1"/>
  <c r="A70" i="1" s="1"/>
  <c r="A71" i="1" s="1"/>
</calcChain>
</file>

<file path=xl/sharedStrings.xml><?xml version="1.0" encoding="utf-8"?>
<sst xmlns="http://schemas.openxmlformats.org/spreadsheetml/2006/main" count="526" uniqueCount="106">
  <si>
    <t>M3</t>
  </si>
  <si>
    <t>Q22221</t>
  </si>
  <si>
    <t>Q5109</t>
  </si>
  <si>
    <t>M4</t>
  </si>
  <si>
    <t>M6</t>
  </si>
  <si>
    <t>Industry</t>
  </si>
  <si>
    <t>category</t>
  </si>
  <si>
    <t>Finance</t>
  </si>
  <si>
    <t>Macro</t>
  </si>
  <si>
    <t>Micro</t>
  </si>
  <si>
    <t>N2751</t>
  </si>
  <si>
    <t>N2745</t>
  </si>
  <si>
    <t>N2677</t>
  </si>
  <si>
    <t>N2671</t>
  </si>
  <si>
    <t>N2774</t>
  </si>
  <si>
    <t>N2852</t>
  </si>
  <si>
    <t>N2564</t>
  </si>
  <si>
    <t>N2613</t>
  </si>
  <si>
    <t>N2582</t>
  </si>
  <si>
    <t>N2602</t>
  </si>
  <si>
    <t>N1901</t>
  </si>
  <si>
    <t>N2186</t>
  </si>
  <si>
    <t>N1950</t>
  </si>
  <si>
    <t>N2072</t>
  </si>
  <si>
    <t>N1907</t>
  </si>
  <si>
    <t>N2501</t>
  </si>
  <si>
    <t>N2219</t>
  </si>
  <si>
    <t>N2267</t>
  </si>
  <si>
    <t>N2270</t>
  </si>
  <si>
    <t>N2478</t>
  </si>
  <si>
    <t>N1871</t>
  </si>
  <si>
    <t>N1435</t>
  </si>
  <si>
    <t>N1533</t>
  </si>
  <si>
    <t>N1474</t>
  </si>
  <si>
    <t>N1819</t>
  </si>
  <si>
    <t>N2824</t>
  </si>
  <si>
    <t>N2948</t>
  </si>
  <si>
    <t>N2888</t>
  </si>
  <si>
    <t>N2955</t>
  </si>
  <si>
    <t>N2783</t>
  </si>
  <si>
    <t>Q11846</t>
  </si>
  <si>
    <t>Q11974</t>
  </si>
  <si>
    <t>Q12170</t>
  </si>
  <si>
    <t>Q12673</t>
  </si>
  <si>
    <t>Q13050</t>
  </si>
  <si>
    <t>Q18638</t>
  </si>
  <si>
    <t>Q20501</t>
  </si>
  <si>
    <t>Q19518</t>
  </si>
  <si>
    <t>Q18530</t>
  </si>
  <si>
    <t>Q15208</t>
  </si>
  <si>
    <t>Q16120</t>
  </si>
  <si>
    <t>Q16176</t>
  </si>
  <si>
    <t>Q14989</t>
  </si>
  <si>
    <t>Q15697</t>
  </si>
  <si>
    <t>Q1988</t>
  </si>
  <si>
    <t>Q3770</t>
  </si>
  <si>
    <t>Q4038</t>
  </si>
  <si>
    <t>Q3957</t>
  </si>
  <si>
    <t>Q11298</t>
  </si>
  <si>
    <t>Q9597</t>
  </si>
  <si>
    <t>Q9516</t>
  </si>
  <si>
    <t>Q9551</t>
  </si>
  <si>
    <t>Q10414</t>
  </si>
  <si>
    <t>Q23416</t>
  </si>
  <si>
    <t>Q23410</t>
  </si>
  <si>
    <t>Q23524</t>
  </si>
  <si>
    <t>Q23487</t>
  </si>
  <si>
    <t>Q23661</t>
  </si>
  <si>
    <t>QRMSE</t>
  </si>
  <si>
    <t>AIC</t>
  </si>
  <si>
    <t>id</t>
  </si>
  <si>
    <t>name</t>
  </si>
  <si>
    <t>cost</t>
  </si>
  <si>
    <t>t.cpu</t>
  </si>
  <si>
    <t>n.segm</t>
  </si>
  <si>
    <t>n.runs</t>
  </si>
  <si>
    <t>n</t>
  </si>
  <si>
    <t>Demographic</t>
  </si>
  <si>
    <t>Other</t>
  </si>
  <si>
    <t xml:space="preserve">Demographic </t>
  </si>
  <si>
    <t xml:space="preserve">Finance     </t>
  </si>
  <si>
    <t xml:space="preserve">Industry    </t>
  </si>
  <si>
    <t xml:space="preserve">Macro       </t>
  </si>
  <si>
    <t xml:space="preserve">Micro       </t>
  </si>
  <si>
    <t xml:space="preserve">Other       </t>
  </si>
  <si>
    <t>avg.n</t>
  </si>
  <si>
    <t>max.n</t>
  </si>
  <si>
    <t>avg.nruns</t>
  </si>
  <si>
    <t>max.nruns</t>
  </si>
  <si>
    <t>avg.nsegm</t>
  </si>
  <si>
    <t>max.nsegm</t>
  </si>
  <si>
    <t>avg.t</t>
  </si>
  <si>
    <t>max.t</t>
  </si>
  <si>
    <t>Benchmark</t>
  </si>
  <si>
    <t xml:space="preserve"> ABBV</t>
  </si>
  <si>
    <t xml:space="preserve"> COP</t>
  </si>
  <si>
    <t xml:space="preserve"> HST</t>
  </si>
  <si>
    <t xml:space="preserve"> PYPL</t>
  </si>
  <si>
    <t xml:space="preserve"> ROST</t>
  </si>
  <si>
    <t xml:space="preserve"> EWG</t>
  </si>
  <si>
    <t xml:space="preserve"> EWQ</t>
  </si>
  <si>
    <t xml:space="preserve"> EWZ</t>
  </si>
  <si>
    <t xml:space="preserve"> SLV</t>
  </si>
  <si>
    <t xml:space="preserve"> VXX</t>
  </si>
  <si>
    <t>Stock</t>
  </si>
  <si>
    <t>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</si>
</sst>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AE39-D579-4A59-9D7D-E59F3DFD4610}">
  <dimension ref="A1:P143"/>
  <sheetViews>
    <sheetView topLeftCell="C1" workbookViewId="0">
      <pane ySplit="1" topLeftCell="A47" activePane="bottomLeft" state="frozen"/>
      <selection activeCell="B1" sqref="B1"/>
      <selection pane="bottomLeft" activeCell="I62" sqref="I62:P62"/>
    </sheetView>
  </sheetViews>
  <sheetFormatPr defaultRowHeight="15.75" x14ac:dyDescent="0.25"/>
  <cols>
    <col min="3" max="3" width="9.125" bestFit="1" customWidth="1"/>
    <col min="9" max="9" width="9.125" bestFit="1" customWidth="1"/>
    <col min="10" max="10" width="13.125" bestFit="1" customWidth="1"/>
  </cols>
  <sheetData>
    <row r="1" spans="1:16" x14ac:dyDescent="0.25">
      <c r="A1" t="s">
        <v>70</v>
      </c>
      <c r="B1" t="s">
        <v>71</v>
      </c>
      <c r="C1" t="s">
        <v>6</v>
      </c>
      <c r="D1" t="s">
        <v>72</v>
      </c>
      <c r="E1" t="s">
        <v>76</v>
      </c>
      <c r="F1" t="s">
        <v>75</v>
      </c>
      <c r="G1" t="s">
        <v>74</v>
      </c>
      <c r="H1" t="s">
        <v>73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</row>
    <row r="2" spans="1:16" x14ac:dyDescent="0.25">
      <c r="A2">
        <v>1</v>
      </c>
      <c r="B2" t="s">
        <v>11</v>
      </c>
      <c r="C2" s="2" t="s">
        <v>79</v>
      </c>
      <c r="D2" t="s">
        <v>68</v>
      </c>
      <c r="E2">
        <v>134</v>
      </c>
      <c r="F2">
        <v>8128</v>
      </c>
      <c r="G2">
        <v>3</v>
      </c>
      <c r="H2">
        <v>1</v>
      </c>
      <c r="I2" s="2">
        <f>AVERAGE(E2:E6)</f>
        <v>122.6</v>
      </c>
      <c r="J2">
        <f>MAX(E2:E6)</f>
        <v>138</v>
      </c>
      <c r="K2" s="2">
        <f>AVERAGE(F2:F6)</f>
        <v>7073.2</v>
      </c>
      <c r="L2">
        <f>MAX(F2:F6)</f>
        <v>8646</v>
      </c>
      <c r="M2" s="2">
        <f>AVERAGE(G2:G6)</f>
        <v>3.8</v>
      </c>
      <c r="N2">
        <f>MAX(G2:G6)</f>
        <v>7</v>
      </c>
      <c r="O2" s="2">
        <f>AVERAGE(H2:H6)</f>
        <v>0.6</v>
      </c>
      <c r="P2">
        <f>MAX(H2:H6)</f>
        <v>1</v>
      </c>
    </row>
    <row r="3" spans="1:16" x14ac:dyDescent="0.25">
      <c r="A3">
        <v>2</v>
      </c>
      <c r="B3" t="s">
        <v>12</v>
      </c>
      <c r="C3" s="2" t="s">
        <v>79</v>
      </c>
      <c r="D3" t="s">
        <v>68</v>
      </c>
      <c r="E3">
        <v>135</v>
      </c>
      <c r="F3">
        <v>8256</v>
      </c>
      <c r="G3">
        <v>7</v>
      </c>
      <c r="H3">
        <v>1</v>
      </c>
      <c r="I3" s="2"/>
    </row>
    <row r="4" spans="1:16" x14ac:dyDescent="0.25">
      <c r="A4">
        <v>3</v>
      </c>
      <c r="B4" t="s">
        <v>13</v>
      </c>
      <c r="C4" s="2" t="s">
        <v>79</v>
      </c>
      <c r="D4" t="s">
        <v>68</v>
      </c>
      <c r="E4">
        <v>135</v>
      </c>
      <c r="F4">
        <v>8256</v>
      </c>
      <c r="G4">
        <v>3</v>
      </c>
      <c r="H4">
        <v>1</v>
      </c>
      <c r="I4" s="2"/>
    </row>
    <row r="5" spans="1:16" x14ac:dyDescent="0.25">
      <c r="A5">
        <v>4</v>
      </c>
      <c r="B5" t="s">
        <v>10</v>
      </c>
      <c r="C5" s="2" t="s">
        <v>79</v>
      </c>
      <c r="D5" t="s">
        <v>68</v>
      </c>
      <c r="E5">
        <v>71</v>
      </c>
      <c r="F5">
        <v>2080</v>
      </c>
      <c r="G5">
        <v>1</v>
      </c>
      <c r="H5">
        <v>0</v>
      </c>
      <c r="I5" s="2"/>
    </row>
    <row r="6" spans="1:16" x14ac:dyDescent="0.25">
      <c r="A6">
        <v>5</v>
      </c>
      <c r="B6" t="s">
        <v>14</v>
      </c>
      <c r="C6" s="2" t="s">
        <v>79</v>
      </c>
      <c r="D6" t="s">
        <v>68</v>
      </c>
      <c r="E6">
        <v>138</v>
      </c>
      <c r="F6">
        <v>8646</v>
      </c>
      <c r="G6">
        <v>5</v>
      </c>
      <c r="H6">
        <v>0</v>
      </c>
      <c r="I6" s="2"/>
    </row>
    <row r="7" spans="1:16" x14ac:dyDescent="0.25">
      <c r="A7">
        <v>6</v>
      </c>
      <c r="B7" t="s">
        <v>15</v>
      </c>
      <c r="C7" s="2" t="s">
        <v>80</v>
      </c>
      <c r="D7" t="s">
        <v>68</v>
      </c>
      <c r="E7">
        <v>79</v>
      </c>
      <c r="F7">
        <v>2628</v>
      </c>
      <c r="G7">
        <v>1</v>
      </c>
      <c r="H7">
        <v>0</v>
      </c>
      <c r="I7" s="2">
        <f>AVERAGE(E7:E11)</f>
        <v>124.8</v>
      </c>
      <c r="J7">
        <f>MAX(E7:E11)</f>
        <v>144</v>
      </c>
      <c r="K7" s="2">
        <f>AVERAGE(F7:F11)</f>
        <v>7267.6</v>
      </c>
      <c r="L7">
        <f>MAX(F7:F11)</f>
        <v>9453</v>
      </c>
      <c r="M7" s="2">
        <f>AVERAGE(G7:G11)</f>
        <v>3.6</v>
      </c>
      <c r="N7">
        <f>MAX(G7:G11)</f>
        <v>9</v>
      </c>
      <c r="O7" s="2">
        <f>AVERAGE(H7:H11)</f>
        <v>0</v>
      </c>
      <c r="P7">
        <f>MAX(H7:H11)</f>
        <v>0</v>
      </c>
    </row>
    <row r="8" spans="1:16" x14ac:dyDescent="0.25">
      <c r="A8">
        <v>7</v>
      </c>
      <c r="B8" t="s">
        <v>16</v>
      </c>
      <c r="C8" s="2" t="s">
        <v>80</v>
      </c>
      <c r="D8" t="s">
        <v>68</v>
      </c>
      <c r="E8">
        <v>133</v>
      </c>
      <c r="F8">
        <v>8001</v>
      </c>
      <c r="G8">
        <v>9</v>
      </c>
      <c r="H8">
        <v>0</v>
      </c>
      <c r="I8" s="2"/>
    </row>
    <row r="9" spans="1:16" x14ac:dyDescent="0.25">
      <c r="A9">
        <v>8</v>
      </c>
      <c r="B9" t="s">
        <v>17</v>
      </c>
      <c r="C9" s="2" t="s">
        <v>80</v>
      </c>
      <c r="D9" t="s">
        <v>68</v>
      </c>
      <c r="E9">
        <v>134</v>
      </c>
      <c r="F9">
        <v>8128</v>
      </c>
      <c r="G9">
        <v>4</v>
      </c>
      <c r="H9">
        <v>0</v>
      </c>
      <c r="I9" s="2"/>
    </row>
    <row r="10" spans="1:16" x14ac:dyDescent="0.25">
      <c r="A10">
        <v>9</v>
      </c>
      <c r="B10" t="s">
        <v>18</v>
      </c>
      <c r="C10" s="2" t="s">
        <v>80</v>
      </c>
      <c r="D10" t="s">
        <v>68</v>
      </c>
      <c r="E10">
        <v>134</v>
      </c>
      <c r="F10">
        <v>8128</v>
      </c>
      <c r="G10">
        <v>3</v>
      </c>
      <c r="H10">
        <v>0</v>
      </c>
      <c r="I10" s="2"/>
    </row>
    <row r="11" spans="1:16" x14ac:dyDescent="0.25">
      <c r="A11">
        <v>10</v>
      </c>
      <c r="B11" t="s">
        <v>19</v>
      </c>
      <c r="C11" s="2" t="s">
        <v>80</v>
      </c>
      <c r="D11" t="s">
        <v>68</v>
      </c>
      <c r="E11">
        <v>144</v>
      </c>
      <c r="F11">
        <v>9453</v>
      </c>
      <c r="G11">
        <v>1</v>
      </c>
      <c r="H11">
        <v>0</v>
      </c>
      <c r="I11" s="2"/>
    </row>
    <row r="12" spans="1:16" x14ac:dyDescent="0.25">
      <c r="A12">
        <v>11</v>
      </c>
      <c r="B12" t="s">
        <v>20</v>
      </c>
      <c r="C12" s="2" t="s">
        <v>81</v>
      </c>
      <c r="D12" t="s">
        <v>68</v>
      </c>
      <c r="E12">
        <v>140</v>
      </c>
      <c r="F12">
        <v>8911</v>
      </c>
      <c r="G12">
        <v>1</v>
      </c>
      <c r="H12">
        <v>0</v>
      </c>
      <c r="I12" s="2">
        <f>AVERAGE(E12:E16)</f>
        <v>139</v>
      </c>
      <c r="J12">
        <f>MAX(E12:E16)</f>
        <v>144</v>
      </c>
      <c r="K12" s="2">
        <f>AVERAGE(F12:F16)</f>
        <v>8789.2000000000007</v>
      </c>
      <c r="L12">
        <f>MAX(F12:F16)</f>
        <v>9453</v>
      </c>
      <c r="M12" s="2">
        <f>AVERAGE(G12:G16)</f>
        <v>1</v>
      </c>
      <c r="N12">
        <f>MAX(G12:G16)</f>
        <v>1</v>
      </c>
      <c r="O12" s="2">
        <f>AVERAGE(H12:H16)</f>
        <v>0</v>
      </c>
      <c r="P12">
        <f>MAX(H12:H16)</f>
        <v>0</v>
      </c>
    </row>
    <row r="13" spans="1:16" x14ac:dyDescent="0.25">
      <c r="A13">
        <v>12</v>
      </c>
      <c r="B13" t="s">
        <v>21</v>
      </c>
      <c r="C13" s="2" t="s">
        <v>81</v>
      </c>
      <c r="D13" t="s">
        <v>68</v>
      </c>
      <c r="E13">
        <v>134</v>
      </c>
      <c r="F13">
        <v>8128</v>
      </c>
      <c r="G13">
        <v>1</v>
      </c>
      <c r="H13">
        <v>0</v>
      </c>
      <c r="I13" s="2"/>
    </row>
    <row r="14" spans="1:16" x14ac:dyDescent="0.25">
      <c r="A14">
        <v>13</v>
      </c>
      <c r="B14" t="s">
        <v>22</v>
      </c>
      <c r="C14" s="2" t="s">
        <v>81</v>
      </c>
      <c r="D14" t="s">
        <v>68</v>
      </c>
      <c r="E14">
        <v>133</v>
      </c>
      <c r="F14">
        <v>8001</v>
      </c>
      <c r="G14">
        <v>1</v>
      </c>
      <c r="H14">
        <v>0</v>
      </c>
      <c r="I14" s="2"/>
    </row>
    <row r="15" spans="1:16" x14ac:dyDescent="0.25">
      <c r="A15">
        <v>14</v>
      </c>
      <c r="B15" t="s">
        <v>23</v>
      </c>
      <c r="C15" s="2" t="s">
        <v>81</v>
      </c>
      <c r="D15" t="s">
        <v>68</v>
      </c>
      <c r="E15">
        <v>144</v>
      </c>
      <c r="F15">
        <v>9453</v>
      </c>
      <c r="G15">
        <v>1</v>
      </c>
      <c r="H15">
        <v>0</v>
      </c>
      <c r="I15" s="2"/>
    </row>
    <row r="16" spans="1:16" x14ac:dyDescent="0.25">
      <c r="A16">
        <v>15</v>
      </c>
      <c r="B16" t="s">
        <v>24</v>
      </c>
      <c r="C16" s="2" t="s">
        <v>81</v>
      </c>
      <c r="D16" t="s">
        <v>68</v>
      </c>
      <c r="E16">
        <v>144</v>
      </c>
      <c r="F16">
        <v>9453</v>
      </c>
      <c r="G16">
        <v>1</v>
      </c>
      <c r="H16">
        <v>0</v>
      </c>
      <c r="I16" s="2"/>
    </row>
    <row r="17" spans="1:16" x14ac:dyDescent="0.25">
      <c r="A17" s="1">
        <v>16</v>
      </c>
      <c r="B17" t="s">
        <v>25</v>
      </c>
      <c r="C17" s="2" t="s">
        <v>82</v>
      </c>
      <c r="D17" t="s">
        <v>68</v>
      </c>
      <c r="E17">
        <v>120</v>
      </c>
      <c r="F17">
        <v>6441</v>
      </c>
      <c r="G17">
        <v>1</v>
      </c>
      <c r="H17">
        <v>0</v>
      </c>
      <c r="I17" s="2">
        <f>AVERAGE(E17:E21)</f>
        <v>128</v>
      </c>
      <c r="J17">
        <f>MAX(E17:E21)</f>
        <v>144</v>
      </c>
      <c r="K17" s="2">
        <f>AVERAGE(F17:F21)</f>
        <v>7532.2</v>
      </c>
      <c r="L17">
        <f>MAX(F17:F21)</f>
        <v>9453</v>
      </c>
      <c r="M17" s="2">
        <f>AVERAGE(G17:G21)</f>
        <v>2</v>
      </c>
      <c r="N17">
        <f>MAX(G17:G21)</f>
        <v>5</v>
      </c>
      <c r="O17" s="2">
        <f>AVERAGE(H17:H21)</f>
        <v>0</v>
      </c>
      <c r="P17">
        <f>MAX(H17:H21)</f>
        <v>0</v>
      </c>
    </row>
    <row r="18" spans="1:16" x14ac:dyDescent="0.25">
      <c r="A18">
        <v>17</v>
      </c>
      <c r="B18" t="s">
        <v>26</v>
      </c>
      <c r="C18" s="2" t="s">
        <v>82</v>
      </c>
      <c r="D18" t="s">
        <v>68</v>
      </c>
      <c r="E18">
        <v>98</v>
      </c>
      <c r="F18">
        <v>4186</v>
      </c>
      <c r="G18">
        <v>5</v>
      </c>
      <c r="H18">
        <v>0</v>
      </c>
      <c r="I18" s="2"/>
    </row>
    <row r="19" spans="1:16" x14ac:dyDescent="0.25">
      <c r="A19">
        <v>18</v>
      </c>
      <c r="B19" t="s">
        <v>27</v>
      </c>
      <c r="C19" s="2" t="s">
        <v>82</v>
      </c>
      <c r="D19" t="s">
        <v>68</v>
      </c>
      <c r="E19">
        <v>134</v>
      </c>
      <c r="F19">
        <v>8128</v>
      </c>
      <c r="G19">
        <v>1</v>
      </c>
      <c r="H19">
        <v>0</v>
      </c>
      <c r="I19" s="2"/>
    </row>
    <row r="20" spans="1:16" x14ac:dyDescent="0.25">
      <c r="A20">
        <v>19</v>
      </c>
      <c r="B20" t="s">
        <v>28</v>
      </c>
      <c r="C20" s="2" t="s">
        <v>82</v>
      </c>
      <c r="D20" t="s">
        <v>68</v>
      </c>
      <c r="E20">
        <v>144</v>
      </c>
      <c r="F20">
        <v>9453</v>
      </c>
      <c r="G20">
        <v>2</v>
      </c>
      <c r="H20">
        <v>0</v>
      </c>
      <c r="I20" s="2"/>
    </row>
    <row r="21" spans="1:16" x14ac:dyDescent="0.25">
      <c r="A21">
        <v>20</v>
      </c>
      <c r="B21" t="s">
        <v>29</v>
      </c>
      <c r="C21" s="2" t="s">
        <v>82</v>
      </c>
      <c r="D21" t="s">
        <v>68</v>
      </c>
      <c r="E21">
        <v>144</v>
      </c>
      <c r="F21">
        <v>9453</v>
      </c>
      <c r="G21">
        <v>1</v>
      </c>
      <c r="H21">
        <v>0</v>
      </c>
      <c r="I21" s="2"/>
    </row>
    <row r="22" spans="1:16" x14ac:dyDescent="0.25">
      <c r="A22">
        <v>21</v>
      </c>
      <c r="B22" t="s">
        <v>30</v>
      </c>
      <c r="C22" s="2" t="s">
        <v>83</v>
      </c>
      <c r="D22" t="s">
        <v>68</v>
      </c>
      <c r="E22">
        <v>126</v>
      </c>
      <c r="F22">
        <v>7140</v>
      </c>
      <c r="G22">
        <v>1</v>
      </c>
      <c r="H22">
        <v>0</v>
      </c>
      <c r="I22" s="2">
        <f>AVERAGE(E22:E26)</f>
        <v>91.8</v>
      </c>
      <c r="J22">
        <f>MAX(E22:E26)</f>
        <v>126</v>
      </c>
      <c r="K22" s="2">
        <f>AVERAGE(F22:F26)</f>
        <v>4027.8</v>
      </c>
      <c r="L22">
        <f>MAX(F22:F26)</f>
        <v>7140</v>
      </c>
      <c r="M22" s="2">
        <f>AVERAGE(G22:G26)</f>
        <v>1</v>
      </c>
      <c r="N22">
        <f>MAX(G22:G26)</f>
        <v>1</v>
      </c>
      <c r="O22" s="2">
        <f>AVERAGE(H22:H26)</f>
        <v>0</v>
      </c>
      <c r="P22">
        <f>MAX(H22:H26)</f>
        <v>0</v>
      </c>
    </row>
    <row r="23" spans="1:16" x14ac:dyDescent="0.25">
      <c r="A23">
        <v>22</v>
      </c>
      <c r="B23" t="s">
        <v>31</v>
      </c>
      <c r="C23" s="2" t="s">
        <v>83</v>
      </c>
      <c r="D23" t="s">
        <v>68</v>
      </c>
      <c r="E23">
        <v>69</v>
      </c>
      <c r="F23">
        <v>1953</v>
      </c>
      <c r="G23">
        <v>1</v>
      </c>
      <c r="H23">
        <v>0</v>
      </c>
      <c r="I23" s="2"/>
    </row>
    <row r="24" spans="1:16" x14ac:dyDescent="0.25">
      <c r="A24">
        <v>23</v>
      </c>
      <c r="B24" t="s">
        <v>32</v>
      </c>
      <c r="C24" s="2" t="s">
        <v>83</v>
      </c>
      <c r="D24" t="s">
        <v>68</v>
      </c>
      <c r="E24">
        <v>69</v>
      </c>
      <c r="F24">
        <v>1953</v>
      </c>
      <c r="G24">
        <v>1</v>
      </c>
      <c r="H24">
        <v>0</v>
      </c>
      <c r="I24" s="2"/>
    </row>
    <row r="25" spans="1:16" x14ac:dyDescent="0.25">
      <c r="A25">
        <v>24</v>
      </c>
      <c r="B25" t="s">
        <v>33</v>
      </c>
      <c r="C25" s="2" t="s">
        <v>83</v>
      </c>
      <c r="D25" t="s">
        <v>68</v>
      </c>
      <c r="E25">
        <v>69</v>
      </c>
      <c r="F25">
        <v>1953</v>
      </c>
      <c r="G25">
        <v>1</v>
      </c>
      <c r="H25">
        <v>0</v>
      </c>
      <c r="I25" s="2"/>
    </row>
    <row r="26" spans="1:16" x14ac:dyDescent="0.25">
      <c r="A26">
        <v>25</v>
      </c>
      <c r="B26" t="s">
        <v>34</v>
      </c>
      <c r="C26" s="2" t="s">
        <v>83</v>
      </c>
      <c r="D26" t="s">
        <v>68</v>
      </c>
      <c r="E26">
        <v>126</v>
      </c>
      <c r="F26">
        <v>7140</v>
      </c>
      <c r="G26">
        <v>1</v>
      </c>
      <c r="H26">
        <v>0</v>
      </c>
      <c r="I26" s="2"/>
    </row>
    <row r="27" spans="1:16" x14ac:dyDescent="0.25">
      <c r="A27">
        <v>26</v>
      </c>
      <c r="B27" t="s">
        <v>35</v>
      </c>
      <c r="C27" s="2" t="s">
        <v>84</v>
      </c>
      <c r="D27" t="s">
        <v>68</v>
      </c>
      <c r="E27">
        <v>71</v>
      </c>
      <c r="F27">
        <v>2080</v>
      </c>
      <c r="G27">
        <v>6</v>
      </c>
      <c r="H27">
        <v>0</v>
      </c>
      <c r="I27" s="2">
        <f>AVERAGE(E27:E31)</f>
        <v>80.8</v>
      </c>
      <c r="J27">
        <f>MAX(E27:E31)</f>
        <v>120</v>
      </c>
      <c r="K27" s="2">
        <f>AVERAGE(F27:F31)</f>
        <v>2952.2</v>
      </c>
      <c r="L27">
        <f>MAX(F27:F31)</f>
        <v>6441</v>
      </c>
      <c r="M27" s="2">
        <f>AVERAGE(G27:G31)</f>
        <v>3.4</v>
      </c>
      <c r="N27">
        <f>MAX(G27:G31)</f>
        <v>6</v>
      </c>
      <c r="O27" s="2">
        <f>AVERAGE(H27:H31)</f>
        <v>0</v>
      </c>
      <c r="P27">
        <f>MAX(H27:H31)</f>
        <v>0</v>
      </c>
    </row>
    <row r="28" spans="1:16" x14ac:dyDescent="0.25">
      <c r="A28">
        <v>27</v>
      </c>
      <c r="B28" t="s">
        <v>36</v>
      </c>
      <c r="C28" s="2" t="s">
        <v>84</v>
      </c>
      <c r="D28" t="s">
        <v>68</v>
      </c>
      <c r="E28">
        <v>71</v>
      </c>
      <c r="F28">
        <v>2080</v>
      </c>
      <c r="G28">
        <v>2</v>
      </c>
      <c r="H28">
        <v>0</v>
      </c>
      <c r="I28" s="2"/>
    </row>
    <row r="29" spans="1:16" x14ac:dyDescent="0.25">
      <c r="A29">
        <v>28</v>
      </c>
      <c r="B29" t="s">
        <v>37</v>
      </c>
      <c r="C29" s="2" t="s">
        <v>84</v>
      </c>
      <c r="D29" t="s">
        <v>68</v>
      </c>
      <c r="E29">
        <v>71</v>
      </c>
      <c r="F29">
        <v>2080</v>
      </c>
      <c r="G29">
        <v>5</v>
      </c>
      <c r="H29">
        <v>0</v>
      </c>
      <c r="I29" s="2"/>
    </row>
    <row r="30" spans="1:16" x14ac:dyDescent="0.25">
      <c r="A30">
        <v>29</v>
      </c>
      <c r="B30" t="s">
        <v>38</v>
      </c>
      <c r="C30" s="2" t="s">
        <v>84</v>
      </c>
      <c r="D30" t="s">
        <v>68</v>
      </c>
      <c r="E30">
        <v>71</v>
      </c>
      <c r="F30">
        <v>2080</v>
      </c>
      <c r="G30">
        <v>3</v>
      </c>
      <c r="H30">
        <v>0</v>
      </c>
      <c r="I30" s="2"/>
    </row>
    <row r="31" spans="1:16" x14ac:dyDescent="0.25">
      <c r="A31">
        <v>30</v>
      </c>
      <c r="B31" t="s">
        <v>39</v>
      </c>
      <c r="C31" s="2" t="s">
        <v>84</v>
      </c>
      <c r="D31" t="s">
        <v>68</v>
      </c>
      <c r="E31">
        <v>120</v>
      </c>
      <c r="F31">
        <v>6441</v>
      </c>
      <c r="G31">
        <v>1</v>
      </c>
      <c r="H31">
        <v>0</v>
      </c>
      <c r="I31" s="2"/>
    </row>
    <row r="32" spans="1:16" x14ac:dyDescent="0.25">
      <c r="A32">
        <v>31</v>
      </c>
      <c r="B32" t="s">
        <v>40</v>
      </c>
      <c r="C32" s="2" t="s">
        <v>77</v>
      </c>
      <c r="D32" t="s">
        <v>68</v>
      </c>
      <c r="E32">
        <v>126</v>
      </c>
      <c r="F32">
        <v>7140</v>
      </c>
      <c r="G32">
        <v>4</v>
      </c>
      <c r="H32">
        <v>0</v>
      </c>
      <c r="I32" s="2">
        <f>AVERAGE(E32:E36)</f>
        <v>241.8</v>
      </c>
      <c r="J32">
        <f>MAX(E32:E36)</f>
        <v>735</v>
      </c>
      <c r="K32" s="2">
        <f>AVERAGE(F32:F36)</f>
        <v>54101.2</v>
      </c>
      <c r="L32">
        <f>MAX(F32:F36)</f>
        <v>245350</v>
      </c>
      <c r="M32" s="2">
        <f>AVERAGE(G32:G36)</f>
        <v>4</v>
      </c>
      <c r="N32">
        <f>MAX(G32:G36)</f>
        <v>7</v>
      </c>
      <c r="O32" s="2">
        <f>AVERAGE(H32:H36)</f>
        <v>57.6</v>
      </c>
      <c r="P32">
        <f>MAX(H32:H36)</f>
        <v>288</v>
      </c>
    </row>
    <row r="33" spans="1:16" x14ac:dyDescent="0.25">
      <c r="A33">
        <v>32</v>
      </c>
      <c r="B33" t="s">
        <v>41</v>
      </c>
      <c r="C33" s="2" t="s">
        <v>77</v>
      </c>
      <c r="D33" t="s">
        <v>68</v>
      </c>
      <c r="E33">
        <v>111</v>
      </c>
      <c r="F33">
        <v>5460</v>
      </c>
      <c r="G33">
        <v>3</v>
      </c>
      <c r="H33">
        <v>0</v>
      </c>
      <c r="I33" s="2"/>
    </row>
    <row r="34" spans="1:16" x14ac:dyDescent="0.25">
      <c r="A34">
        <v>33</v>
      </c>
      <c r="B34" t="s">
        <v>42</v>
      </c>
      <c r="C34" s="2" t="s">
        <v>77</v>
      </c>
      <c r="D34" t="s">
        <v>68</v>
      </c>
      <c r="E34">
        <v>115</v>
      </c>
      <c r="F34">
        <v>5886</v>
      </c>
      <c r="G34">
        <v>1</v>
      </c>
      <c r="H34">
        <v>0</v>
      </c>
      <c r="I34" s="2"/>
    </row>
    <row r="35" spans="1:16" x14ac:dyDescent="0.25">
      <c r="A35">
        <v>34</v>
      </c>
      <c r="B35" t="s">
        <v>43</v>
      </c>
      <c r="C35" s="2" t="s">
        <v>77</v>
      </c>
      <c r="D35" t="s">
        <v>68</v>
      </c>
      <c r="E35">
        <v>122</v>
      </c>
      <c r="F35">
        <v>6670</v>
      </c>
      <c r="G35">
        <v>5</v>
      </c>
      <c r="H35">
        <v>0</v>
      </c>
      <c r="I35" s="2"/>
    </row>
    <row r="36" spans="1:16" x14ac:dyDescent="0.25">
      <c r="A36">
        <v>35</v>
      </c>
      <c r="B36" t="s">
        <v>44</v>
      </c>
      <c r="C36" s="2" t="s">
        <v>77</v>
      </c>
      <c r="D36" t="s">
        <v>68</v>
      </c>
      <c r="E36">
        <v>735</v>
      </c>
      <c r="F36">
        <v>245350</v>
      </c>
      <c r="G36">
        <v>7</v>
      </c>
      <c r="H36">
        <v>288</v>
      </c>
      <c r="I36" s="2"/>
    </row>
    <row r="37" spans="1:16" x14ac:dyDescent="0.25">
      <c r="A37">
        <v>36</v>
      </c>
      <c r="B37" t="s">
        <v>45</v>
      </c>
      <c r="C37" s="2" t="s">
        <v>7</v>
      </c>
      <c r="D37" t="s">
        <v>68</v>
      </c>
      <c r="E37">
        <v>136</v>
      </c>
      <c r="F37">
        <v>8385</v>
      </c>
      <c r="G37">
        <v>1</v>
      </c>
      <c r="H37">
        <v>0</v>
      </c>
      <c r="I37" s="2">
        <f>AVERAGE(E37:E41)</f>
        <v>246</v>
      </c>
      <c r="J37">
        <f>MAX(E37:E41)</f>
        <v>738</v>
      </c>
      <c r="K37" s="2">
        <f>AVERAGE(F37:F41)</f>
        <v>54945.4</v>
      </c>
      <c r="L37">
        <f>MAX(F37:F41)</f>
        <v>247456</v>
      </c>
      <c r="M37" s="2">
        <f>AVERAGE(G37:G41)</f>
        <v>6.2</v>
      </c>
      <c r="N37">
        <f>MAX(G37:G41)</f>
        <v>10</v>
      </c>
      <c r="O37" s="2">
        <f>AVERAGE(H37:H41)</f>
        <v>61.6</v>
      </c>
      <c r="P37">
        <f>MAX(H37:H41)</f>
        <v>308</v>
      </c>
    </row>
    <row r="38" spans="1:16" x14ac:dyDescent="0.25">
      <c r="A38">
        <v>37</v>
      </c>
      <c r="B38" t="s">
        <v>46</v>
      </c>
      <c r="C38" s="2" t="s">
        <v>7</v>
      </c>
      <c r="D38" t="s">
        <v>68</v>
      </c>
      <c r="E38">
        <v>116</v>
      </c>
      <c r="F38">
        <v>5995</v>
      </c>
      <c r="G38">
        <v>10</v>
      </c>
      <c r="H38">
        <v>0</v>
      </c>
      <c r="I38" s="2"/>
    </row>
    <row r="39" spans="1:16" x14ac:dyDescent="0.25">
      <c r="A39">
        <v>38</v>
      </c>
      <c r="B39" t="s">
        <v>47</v>
      </c>
      <c r="C39" s="2" t="s">
        <v>7</v>
      </c>
      <c r="D39" t="s">
        <v>68</v>
      </c>
      <c r="E39">
        <v>123</v>
      </c>
      <c r="F39">
        <v>6786</v>
      </c>
      <c r="G39">
        <v>10</v>
      </c>
      <c r="H39">
        <v>0</v>
      </c>
      <c r="I39" s="2"/>
    </row>
    <row r="40" spans="1:16" x14ac:dyDescent="0.25">
      <c r="A40">
        <v>39</v>
      </c>
      <c r="B40" t="s">
        <v>48</v>
      </c>
      <c r="C40" s="2" t="s">
        <v>7</v>
      </c>
      <c r="D40" t="s">
        <v>68</v>
      </c>
      <c r="E40">
        <v>117</v>
      </c>
      <c r="F40">
        <v>6105</v>
      </c>
      <c r="G40">
        <v>5</v>
      </c>
      <c r="H40">
        <v>0</v>
      </c>
      <c r="I40" s="2"/>
    </row>
    <row r="41" spans="1:16" x14ac:dyDescent="0.25">
      <c r="A41">
        <v>40</v>
      </c>
      <c r="B41" t="s">
        <v>1</v>
      </c>
      <c r="C41" s="2" t="s">
        <v>7</v>
      </c>
      <c r="D41" t="s">
        <v>68</v>
      </c>
      <c r="E41">
        <v>738</v>
      </c>
      <c r="F41">
        <v>247456</v>
      </c>
      <c r="G41">
        <v>5</v>
      </c>
      <c r="H41">
        <v>308</v>
      </c>
      <c r="I41" s="2"/>
    </row>
    <row r="42" spans="1:16" x14ac:dyDescent="0.25">
      <c r="A42">
        <v>41</v>
      </c>
      <c r="B42" t="s">
        <v>49</v>
      </c>
      <c r="C42" s="2" t="s">
        <v>5</v>
      </c>
      <c r="D42" t="s">
        <v>68</v>
      </c>
      <c r="E42">
        <v>162</v>
      </c>
      <c r="F42">
        <v>12090</v>
      </c>
      <c r="G42">
        <v>7</v>
      </c>
      <c r="H42">
        <v>1</v>
      </c>
      <c r="I42" s="2">
        <f>AVERAGE(E42:E46)</f>
        <v>258.39999999999998</v>
      </c>
      <c r="J42">
        <f>MAX(E42:E46)</f>
        <v>737</v>
      </c>
      <c r="K42" s="2">
        <f>AVERAGE(F42:F46)</f>
        <v>56492</v>
      </c>
      <c r="L42">
        <f>MAX(F42:F46)</f>
        <v>246753</v>
      </c>
      <c r="M42" s="2">
        <f>AVERAGE(G42:G46)</f>
        <v>4.5999999999999996</v>
      </c>
      <c r="N42">
        <f>MAX(G42:G46)</f>
        <v>7</v>
      </c>
      <c r="O42" s="2">
        <f>AVERAGE(H42:H46)</f>
        <v>60</v>
      </c>
      <c r="P42">
        <f>MAX(H42:H46)</f>
        <v>298</v>
      </c>
    </row>
    <row r="43" spans="1:16" x14ac:dyDescent="0.25">
      <c r="A43">
        <v>42</v>
      </c>
      <c r="B43" t="s">
        <v>50</v>
      </c>
      <c r="C43" s="2" t="s">
        <v>5</v>
      </c>
      <c r="D43" t="s">
        <v>68</v>
      </c>
      <c r="E43">
        <v>122</v>
      </c>
      <c r="F43">
        <v>6670</v>
      </c>
      <c r="G43">
        <v>7</v>
      </c>
      <c r="H43">
        <v>0</v>
      </c>
      <c r="I43" s="2"/>
    </row>
    <row r="44" spans="1:16" x14ac:dyDescent="0.25">
      <c r="A44">
        <v>43</v>
      </c>
      <c r="B44" t="s">
        <v>51</v>
      </c>
      <c r="C44" s="2" t="s">
        <v>5</v>
      </c>
      <c r="D44" t="s">
        <v>68</v>
      </c>
      <c r="E44">
        <v>118</v>
      </c>
      <c r="F44">
        <v>6216</v>
      </c>
      <c r="G44">
        <v>1</v>
      </c>
      <c r="H44">
        <v>0</v>
      </c>
      <c r="I44" s="2"/>
    </row>
    <row r="45" spans="1:16" x14ac:dyDescent="0.25">
      <c r="A45">
        <v>44</v>
      </c>
      <c r="B45" t="s">
        <v>52</v>
      </c>
      <c r="C45" s="2" t="s">
        <v>5</v>
      </c>
      <c r="D45" t="s">
        <v>68</v>
      </c>
      <c r="E45">
        <v>153</v>
      </c>
      <c r="F45">
        <v>10731</v>
      </c>
      <c r="G45">
        <v>4</v>
      </c>
      <c r="H45">
        <v>1</v>
      </c>
      <c r="I45" s="2"/>
    </row>
    <row r="46" spans="1:16" x14ac:dyDescent="0.25">
      <c r="A46">
        <v>45</v>
      </c>
      <c r="B46" t="s">
        <v>53</v>
      </c>
      <c r="C46" s="2" t="s">
        <v>5</v>
      </c>
      <c r="D46" t="s">
        <v>68</v>
      </c>
      <c r="E46">
        <v>737</v>
      </c>
      <c r="F46">
        <v>246753</v>
      </c>
      <c r="G46">
        <v>4</v>
      </c>
      <c r="H46">
        <v>298</v>
      </c>
      <c r="I46" s="2"/>
    </row>
    <row r="47" spans="1:16" x14ac:dyDescent="0.25">
      <c r="A47">
        <v>46</v>
      </c>
      <c r="B47" t="s">
        <v>54</v>
      </c>
      <c r="C47" s="2" t="s">
        <v>8</v>
      </c>
      <c r="D47" t="s">
        <v>68</v>
      </c>
      <c r="E47">
        <v>164</v>
      </c>
      <c r="F47">
        <v>12403</v>
      </c>
      <c r="G47">
        <v>1</v>
      </c>
      <c r="H47">
        <v>1</v>
      </c>
      <c r="I47" s="2">
        <f>AVERAGE(E47:E51)</f>
        <v>280</v>
      </c>
      <c r="J47">
        <f>MAX(E47:E51)</f>
        <v>866</v>
      </c>
      <c r="K47" s="2">
        <f>AVERAGE(F47:F51)</f>
        <v>74559.8</v>
      </c>
      <c r="L47">
        <f>MAX(F47:F51)</f>
        <v>339900</v>
      </c>
      <c r="M47" s="2">
        <f>AVERAGE(G47:G51)</f>
        <v>5.6</v>
      </c>
      <c r="N47">
        <f>MAX(G47:G51)</f>
        <v>10</v>
      </c>
      <c r="O47" s="2">
        <f>AVERAGE(H47:H51)</f>
        <v>106.6</v>
      </c>
      <c r="P47">
        <f>MAX(H47:H51)</f>
        <v>532</v>
      </c>
    </row>
    <row r="48" spans="1:16" x14ac:dyDescent="0.25">
      <c r="A48">
        <v>47</v>
      </c>
      <c r="B48" t="s">
        <v>55</v>
      </c>
      <c r="C48" s="2" t="s">
        <v>8</v>
      </c>
      <c r="D48" t="s">
        <v>68</v>
      </c>
      <c r="E48">
        <v>126</v>
      </c>
      <c r="F48">
        <v>7140</v>
      </c>
      <c r="G48">
        <v>1</v>
      </c>
      <c r="H48">
        <v>0</v>
      </c>
      <c r="I48" s="2"/>
    </row>
    <row r="49" spans="1:16" x14ac:dyDescent="0.25">
      <c r="A49">
        <v>48</v>
      </c>
      <c r="B49" t="s">
        <v>56</v>
      </c>
      <c r="C49" s="2" t="s">
        <v>8</v>
      </c>
      <c r="D49" t="s">
        <v>68</v>
      </c>
      <c r="E49">
        <v>118</v>
      </c>
      <c r="F49">
        <v>6216</v>
      </c>
      <c r="G49">
        <v>7</v>
      </c>
      <c r="H49">
        <v>0</v>
      </c>
      <c r="I49" s="2"/>
    </row>
    <row r="50" spans="1:16" x14ac:dyDescent="0.25">
      <c r="A50">
        <v>49</v>
      </c>
      <c r="B50" t="s">
        <v>57</v>
      </c>
      <c r="C50" s="2" t="s">
        <v>8</v>
      </c>
      <c r="D50" t="s">
        <v>68</v>
      </c>
      <c r="E50">
        <v>126</v>
      </c>
      <c r="F50">
        <v>7140</v>
      </c>
      <c r="G50">
        <v>9</v>
      </c>
      <c r="H50">
        <v>0</v>
      </c>
      <c r="I50" s="2"/>
    </row>
    <row r="51" spans="1:16" x14ac:dyDescent="0.25">
      <c r="A51">
        <v>50</v>
      </c>
      <c r="B51" t="s">
        <v>2</v>
      </c>
      <c r="C51" s="2" t="s">
        <v>8</v>
      </c>
      <c r="D51" t="s">
        <v>68</v>
      </c>
      <c r="E51">
        <v>866</v>
      </c>
      <c r="F51">
        <v>339900</v>
      </c>
      <c r="G51">
        <v>10</v>
      </c>
      <c r="H51">
        <v>532</v>
      </c>
      <c r="I51" s="2"/>
    </row>
    <row r="52" spans="1:16" x14ac:dyDescent="0.25">
      <c r="A52">
        <v>51</v>
      </c>
      <c r="B52" t="s">
        <v>58</v>
      </c>
      <c r="C52" s="2" t="s">
        <v>9</v>
      </c>
      <c r="D52" t="s">
        <v>68</v>
      </c>
      <c r="E52">
        <v>109</v>
      </c>
      <c r="F52">
        <v>5253</v>
      </c>
      <c r="G52">
        <v>2</v>
      </c>
      <c r="H52">
        <v>0</v>
      </c>
      <c r="I52" s="2">
        <f>AVERAGE(E52:E56)</f>
        <v>232.8</v>
      </c>
      <c r="J52">
        <f>MAX(E52:E56)</f>
        <v>737</v>
      </c>
      <c r="K52" s="2">
        <f>AVERAGE(F52:F56)</f>
        <v>53371.199999999997</v>
      </c>
      <c r="L52">
        <f>MAX(F52:F56)</f>
        <v>246753</v>
      </c>
      <c r="M52" s="2">
        <f>AVERAGE(G52:G56)</f>
        <v>2.8</v>
      </c>
      <c r="N52">
        <f>MAX(G52:G56)</f>
        <v>7</v>
      </c>
      <c r="O52" s="2">
        <f>AVERAGE(H52:H56)</f>
        <v>58.4</v>
      </c>
      <c r="P52">
        <f>MAX(H52:H56)</f>
        <v>292</v>
      </c>
    </row>
    <row r="53" spans="1:16" x14ac:dyDescent="0.25">
      <c r="A53">
        <v>52</v>
      </c>
      <c r="B53" t="s">
        <v>59</v>
      </c>
      <c r="C53" s="2" t="s">
        <v>9</v>
      </c>
      <c r="D53" t="s">
        <v>68</v>
      </c>
      <c r="E53">
        <v>106</v>
      </c>
      <c r="F53">
        <v>4950</v>
      </c>
      <c r="G53">
        <v>1</v>
      </c>
      <c r="H53">
        <v>0</v>
      </c>
      <c r="I53" s="2"/>
    </row>
    <row r="54" spans="1:16" x14ac:dyDescent="0.25">
      <c r="A54">
        <v>53</v>
      </c>
      <c r="B54" t="s">
        <v>60</v>
      </c>
      <c r="C54" s="2" t="s">
        <v>9</v>
      </c>
      <c r="D54" t="s">
        <v>68</v>
      </c>
      <c r="E54">
        <v>106</v>
      </c>
      <c r="F54">
        <v>4950</v>
      </c>
      <c r="G54">
        <v>1</v>
      </c>
      <c r="H54">
        <v>0</v>
      </c>
      <c r="I54" s="2"/>
    </row>
    <row r="55" spans="1:16" x14ac:dyDescent="0.25">
      <c r="A55">
        <v>54</v>
      </c>
      <c r="B55" t="s">
        <v>61</v>
      </c>
      <c r="C55" s="2" t="s">
        <v>9</v>
      </c>
      <c r="D55" t="s">
        <v>68</v>
      </c>
      <c r="E55">
        <v>106</v>
      </c>
      <c r="F55">
        <v>4950</v>
      </c>
      <c r="G55">
        <v>7</v>
      </c>
      <c r="H55">
        <v>0</v>
      </c>
      <c r="I55" s="2"/>
    </row>
    <row r="56" spans="1:16" x14ac:dyDescent="0.25">
      <c r="A56">
        <v>55</v>
      </c>
      <c r="B56" t="s">
        <v>62</v>
      </c>
      <c r="C56" s="2" t="s">
        <v>9</v>
      </c>
      <c r="D56" t="s">
        <v>68</v>
      </c>
      <c r="E56">
        <v>737</v>
      </c>
      <c r="F56">
        <v>246753</v>
      </c>
      <c r="G56">
        <v>3</v>
      </c>
      <c r="H56">
        <v>292</v>
      </c>
      <c r="I56" s="2"/>
    </row>
    <row r="57" spans="1:16" x14ac:dyDescent="0.25">
      <c r="A57">
        <v>56</v>
      </c>
      <c r="B57" t="s">
        <v>63</v>
      </c>
      <c r="C57" s="2" t="s">
        <v>78</v>
      </c>
      <c r="D57" t="s">
        <v>68</v>
      </c>
      <c r="E57">
        <v>180</v>
      </c>
      <c r="F57">
        <v>14878</v>
      </c>
      <c r="G57">
        <v>1</v>
      </c>
      <c r="H57">
        <v>1</v>
      </c>
      <c r="I57" s="2">
        <f>AVERAGE(E57:E61)</f>
        <v>260.39999999999998</v>
      </c>
      <c r="J57">
        <f>MAX(E57:E61)</f>
        <v>701</v>
      </c>
      <c r="K57" s="2">
        <f>AVERAGE(F57:F61)</f>
        <v>53106.2</v>
      </c>
      <c r="L57">
        <f>MAX(F57:F61)</f>
        <v>222778</v>
      </c>
      <c r="M57" s="2">
        <f>AVERAGE(G57:G61)</f>
        <v>4.8</v>
      </c>
      <c r="N57">
        <f>MAX(G57:G61)</f>
        <v>10</v>
      </c>
      <c r="O57" s="2">
        <f>AVERAGE(H57:H61)</f>
        <v>57.6</v>
      </c>
      <c r="P57">
        <f>MAX(H57:H61)</f>
        <v>286</v>
      </c>
    </row>
    <row r="58" spans="1:16" x14ac:dyDescent="0.25">
      <c r="A58">
        <v>57</v>
      </c>
      <c r="B58" t="s">
        <v>64</v>
      </c>
      <c r="C58" s="2" t="s">
        <v>78</v>
      </c>
      <c r="D58" t="s">
        <v>68</v>
      </c>
      <c r="E58">
        <v>177</v>
      </c>
      <c r="F58">
        <v>14535</v>
      </c>
      <c r="G58">
        <v>2</v>
      </c>
      <c r="H58">
        <v>1</v>
      </c>
      <c r="I58" s="2"/>
    </row>
    <row r="59" spans="1:16" x14ac:dyDescent="0.25">
      <c r="A59">
        <v>58</v>
      </c>
      <c r="B59" t="s">
        <v>65</v>
      </c>
      <c r="C59" s="2" t="s">
        <v>78</v>
      </c>
      <c r="D59" t="s">
        <v>68</v>
      </c>
      <c r="E59">
        <v>122</v>
      </c>
      <c r="F59">
        <v>6670</v>
      </c>
      <c r="G59">
        <v>3</v>
      </c>
      <c r="H59">
        <v>0</v>
      </c>
      <c r="I59" s="2"/>
    </row>
    <row r="60" spans="1:16" x14ac:dyDescent="0.25">
      <c r="A60">
        <v>59</v>
      </c>
      <c r="B60" t="s">
        <v>66</v>
      </c>
      <c r="C60" s="2" t="s">
        <v>78</v>
      </c>
      <c r="D60" t="s">
        <v>68</v>
      </c>
      <c r="E60">
        <v>122</v>
      </c>
      <c r="F60">
        <v>6670</v>
      </c>
      <c r="G60">
        <v>10</v>
      </c>
      <c r="H60">
        <v>0</v>
      </c>
      <c r="I60" s="2"/>
    </row>
    <row r="61" spans="1:16" x14ac:dyDescent="0.25">
      <c r="A61">
        <v>60</v>
      </c>
      <c r="B61" t="s">
        <v>67</v>
      </c>
      <c r="C61" s="2" t="s">
        <v>78</v>
      </c>
      <c r="D61" t="s">
        <v>68</v>
      </c>
      <c r="E61">
        <v>701</v>
      </c>
      <c r="F61">
        <v>222778</v>
      </c>
      <c r="G61">
        <v>8</v>
      </c>
      <c r="H61">
        <v>286</v>
      </c>
      <c r="I61" s="2"/>
    </row>
    <row r="62" spans="1:16" x14ac:dyDescent="0.25">
      <c r="A62">
        <f>1+A61</f>
        <v>61</v>
      </c>
      <c r="B62" t="s">
        <v>94</v>
      </c>
      <c r="C62" t="s">
        <v>104</v>
      </c>
      <c r="D62" t="s">
        <v>68</v>
      </c>
      <c r="E62">
        <v>253</v>
      </c>
      <c r="F62">
        <v>29403</v>
      </c>
      <c r="G62">
        <v>7</v>
      </c>
      <c r="H62">
        <v>5</v>
      </c>
      <c r="I62" s="2">
        <f>AVERAGE(E62:E71)</f>
        <v>257.8</v>
      </c>
      <c r="J62">
        <f>MAX(E62:E71)</f>
        <v>265</v>
      </c>
      <c r="K62" s="2">
        <f>AVERAGE(F62:F71)</f>
        <v>30394.2</v>
      </c>
      <c r="L62">
        <f>MAX(F62:F71)</f>
        <v>32131</v>
      </c>
      <c r="M62" s="2">
        <f>AVERAGE(G62:G71)</f>
        <v>4.2</v>
      </c>
      <c r="N62">
        <f>MAX(G62:G71)</f>
        <v>7</v>
      </c>
      <c r="O62" s="2">
        <f>AVERAGE(H62:H71)</f>
        <v>7</v>
      </c>
      <c r="P62">
        <f>MAX(H62:H71)</f>
        <v>25</v>
      </c>
    </row>
    <row r="63" spans="1:16" x14ac:dyDescent="0.25">
      <c r="A63">
        <f t="shared" ref="A63:A71" si="0">1+A62</f>
        <v>62</v>
      </c>
      <c r="B63" t="s">
        <v>95</v>
      </c>
      <c r="C63" t="s">
        <v>104</v>
      </c>
      <c r="D63" t="s">
        <v>68</v>
      </c>
      <c r="E63">
        <v>265</v>
      </c>
      <c r="F63">
        <v>32131</v>
      </c>
      <c r="G63">
        <v>7</v>
      </c>
      <c r="H63">
        <v>2</v>
      </c>
      <c r="I63" s="2"/>
    </row>
    <row r="64" spans="1:16" x14ac:dyDescent="0.25">
      <c r="A64">
        <f t="shared" si="0"/>
        <v>63</v>
      </c>
      <c r="B64" t="s">
        <v>96</v>
      </c>
      <c r="C64" t="s">
        <v>104</v>
      </c>
      <c r="D64" t="s">
        <v>68</v>
      </c>
      <c r="E64">
        <v>265</v>
      </c>
      <c r="F64">
        <v>32131</v>
      </c>
      <c r="G64">
        <v>7</v>
      </c>
      <c r="H64">
        <v>2</v>
      </c>
      <c r="I64" s="2"/>
    </row>
    <row r="65" spans="1:16" x14ac:dyDescent="0.25">
      <c r="A65">
        <f t="shared" si="0"/>
        <v>64</v>
      </c>
      <c r="B65" t="s">
        <v>97</v>
      </c>
      <c r="C65" t="s">
        <v>104</v>
      </c>
      <c r="D65" t="s">
        <v>68</v>
      </c>
      <c r="E65">
        <v>253</v>
      </c>
      <c r="F65">
        <v>29403</v>
      </c>
      <c r="G65">
        <v>3</v>
      </c>
      <c r="H65">
        <v>6</v>
      </c>
      <c r="I65" s="2"/>
    </row>
    <row r="66" spans="1:16" x14ac:dyDescent="0.25">
      <c r="A66">
        <f t="shared" si="0"/>
        <v>65</v>
      </c>
      <c r="B66" t="s">
        <v>98</v>
      </c>
      <c r="C66" t="s">
        <v>104</v>
      </c>
      <c r="D66" t="s">
        <v>68</v>
      </c>
      <c r="E66">
        <v>253</v>
      </c>
      <c r="F66">
        <v>29403</v>
      </c>
      <c r="G66">
        <v>2</v>
      </c>
      <c r="H66">
        <v>6</v>
      </c>
      <c r="I66" s="2"/>
    </row>
    <row r="67" spans="1:16" x14ac:dyDescent="0.25">
      <c r="A67">
        <f t="shared" si="0"/>
        <v>66</v>
      </c>
      <c r="B67" t="s">
        <v>99</v>
      </c>
      <c r="C67" t="s">
        <v>105</v>
      </c>
      <c r="D67" t="s">
        <v>68</v>
      </c>
      <c r="E67">
        <v>253</v>
      </c>
      <c r="F67">
        <v>29403</v>
      </c>
      <c r="G67">
        <v>6</v>
      </c>
      <c r="H67">
        <v>6</v>
      </c>
      <c r="I67" s="2"/>
    </row>
    <row r="68" spans="1:16" x14ac:dyDescent="0.25">
      <c r="A68">
        <f t="shared" si="0"/>
        <v>67</v>
      </c>
      <c r="B68" t="s">
        <v>100</v>
      </c>
      <c r="C68" t="s">
        <v>105</v>
      </c>
      <c r="D68" t="s">
        <v>68</v>
      </c>
      <c r="E68">
        <v>253</v>
      </c>
      <c r="F68">
        <v>29403</v>
      </c>
      <c r="G68">
        <v>3</v>
      </c>
      <c r="H68">
        <v>5</v>
      </c>
      <c r="I68" s="2"/>
    </row>
    <row r="69" spans="1:16" x14ac:dyDescent="0.25">
      <c r="A69">
        <f t="shared" si="0"/>
        <v>68</v>
      </c>
      <c r="B69" t="s">
        <v>101</v>
      </c>
      <c r="C69" t="s">
        <v>105</v>
      </c>
      <c r="D69" t="s">
        <v>68</v>
      </c>
      <c r="E69">
        <v>253</v>
      </c>
      <c r="F69">
        <v>29403</v>
      </c>
      <c r="G69">
        <v>2</v>
      </c>
      <c r="H69">
        <v>6</v>
      </c>
      <c r="I69" s="2"/>
    </row>
    <row r="70" spans="1:16" x14ac:dyDescent="0.25">
      <c r="A70">
        <f t="shared" si="0"/>
        <v>69</v>
      </c>
      <c r="B70" t="s">
        <v>102</v>
      </c>
      <c r="C70" t="s">
        <v>105</v>
      </c>
      <c r="D70" t="s">
        <v>68</v>
      </c>
      <c r="E70">
        <v>265</v>
      </c>
      <c r="F70">
        <v>32131</v>
      </c>
      <c r="G70">
        <v>2</v>
      </c>
      <c r="H70">
        <v>25</v>
      </c>
      <c r="I70" s="2"/>
    </row>
    <row r="71" spans="1:16" x14ac:dyDescent="0.25">
      <c r="A71">
        <f t="shared" si="0"/>
        <v>70</v>
      </c>
      <c r="B71" t="s">
        <v>103</v>
      </c>
      <c r="C71" t="s">
        <v>105</v>
      </c>
      <c r="D71" t="s">
        <v>68</v>
      </c>
      <c r="E71">
        <v>265</v>
      </c>
      <c r="F71">
        <v>31131</v>
      </c>
      <c r="G71">
        <v>3</v>
      </c>
      <c r="H71">
        <v>7</v>
      </c>
      <c r="I71" s="2"/>
    </row>
    <row r="72" spans="1:16" x14ac:dyDescent="0.25">
      <c r="A72">
        <v>1</v>
      </c>
      <c r="B72" t="s">
        <v>11</v>
      </c>
      <c r="C72" s="2" t="s">
        <v>79</v>
      </c>
      <c r="D72" t="s">
        <v>69</v>
      </c>
      <c r="E72">
        <v>134</v>
      </c>
      <c r="F72">
        <v>8128</v>
      </c>
      <c r="G72">
        <v>10</v>
      </c>
      <c r="H72">
        <v>0</v>
      </c>
      <c r="I72" s="2">
        <f>AVERAGE(E72:E76)</f>
        <v>122.6</v>
      </c>
      <c r="J72">
        <f>MAX(E72:E76)</f>
        <v>138</v>
      </c>
      <c r="K72" s="2">
        <f>AVERAGE(F72:F76)</f>
        <v>7073.2</v>
      </c>
      <c r="L72">
        <f>MAX(F72:F76)</f>
        <v>8646</v>
      </c>
      <c r="M72" s="2">
        <f>AVERAGE(G72:G76)</f>
        <v>9.4</v>
      </c>
      <c r="N72">
        <f>MAX(G72:G76)</f>
        <v>10</v>
      </c>
      <c r="O72" s="2">
        <f>AVERAGE(H72:H76)</f>
        <v>0.2</v>
      </c>
      <c r="P72">
        <f>MAX(H72:H76)</f>
        <v>1</v>
      </c>
    </row>
    <row r="73" spans="1:16" x14ac:dyDescent="0.25">
      <c r="A73">
        <v>2</v>
      </c>
      <c r="B73" t="s">
        <v>12</v>
      </c>
      <c r="C73" s="2" t="s">
        <v>79</v>
      </c>
      <c r="D73" t="s">
        <v>69</v>
      </c>
      <c r="E73">
        <v>135</v>
      </c>
      <c r="F73">
        <v>8256</v>
      </c>
      <c r="G73">
        <v>10</v>
      </c>
      <c r="H73">
        <v>1</v>
      </c>
      <c r="I73" s="2"/>
    </row>
    <row r="74" spans="1:16" x14ac:dyDescent="0.25">
      <c r="A74">
        <v>3</v>
      </c>
      <c r="B74" t="s">
        <v>13</v>
      </c>
      <c r="C74" s="2" t="s">
        <v>79</v>
      </c>
      <c r="D74" t="s">
        <v>69</v>
      </c>
      <c r="E74">
        <v>135</v>
      </c>
      <c r="F74">
        <v>8256</v>
      </c>
      <c r="G74">
        <v>10</v>
      </c>
      <c r="H74">
        <v>0</v>
      </c>
      <c r="I74" s="2"/>
    </row>
    <row r="75" spans="1:16" x14ac:dyDescent="0.25">
      <c r="A75">
        <v>4</v>
      </c>
      <c r="B75" t="s">
        <v>10</v>
      </c>
      <c r="C75" s="2" t="s">
        <v>79</v>
      </c>
      <c r="D75" t="s">
        <v>69</v>
      </c>
      <c r="E75">
        <v>71</v>
      </c>
      <c r="F75">
        <v>2080</v>
      </c>
      <c r="G75">
        <v>7</v>
      </c>
      <c r="H75">
        <v>0</v>
      </c>
      <c r="I75" s="2"/>
    </row>
    <row r="76" spans="1:16" x14ac:dyDescent="0.25">
      <c r="A76">
        <v>5</v>
      </c>
      <c r="B76" t="s">
        <v>14</v>
      </c>
      <c r="C76" s="2" t="s">
        <v>79</v>
      </c>
      <c r="D76" t="s">
        <v>69</v>
      </c>
      <c r="E76">
        <v>138</v>
      </c>
      <c r="F76">
        <v>8646</v>
      </c>
      <c r="G76">
        <v>10</v>
      </c>
      <c r="H76">
        <v>0</v>
      </c>
      <c r="I76" s="2"/>
    </row>
    <row r="77" spans="1:16" x14ac:dyDescent="0.25">
      <c r="A77">
        <v>6</v>
      </c>
      <c r="B77" t="s">
        <v>15</v>
      </c>
      <c r="C77" s="2" t="s">
        <v>80</v>
      </c>
      <c r="D77" t="s">
        <v>69</v>
      </c>
      <c r="E77">
        <v>79</v>
      </c>
      <c r="F77">
        <v>2628</v>
      </c>
      <c r="G77">
        <v>8</v>
      </c>
      <c r="H77">
        <v>0</v>
      </c>
      <c r="I77" s="2">
        <f>AVERAGE(E77:E81)</f>
        <v>124.8</v>
      </c>
      <c r="J77">
        <f>MAX(E77:E81)</f>
        <v>144</v>
      </c>
      <c r="K77" s="2">
        <f>AVERAGE(F77:F81)</f>
        <v>7267.6</v>
      </c>
      <c r="L77">
        <f>MAX(F77:F81)</f>
        <v>9453</v>
      </c>
      <c r="M77" s="2">
        <f>AVERAGE(G77:G81)</f>
        <v>9.6</v>
      </c>
      <c r="N77">
        <f>MAX(G77:G81)</f>
        <v>10</v>
      </c>
      <c r="O77" s="2">
        <f>AVERAGE(H77:H81)</f>
        <v>0</v>
      </c>
      <c r="P77">
        <f>MAX(H77:H81)</f>
        <v>0</v>
      </c>
    </row>
    <row r="78" spans="1:16" x14ac:dyDescent="0.25">
      <c r="A78">
        <v>7</v>
      </c>
      <c r="B78" t="s">
        <v>16</v>
      </c>
      <c r="C78" s="2" t="s">
        <v>80</v>
      </c>
      <c r="D78" t="s">
        <v>69</v>
      </c>
      <c r="E78">
        <v>133</v>
      </c>
      <c r="F78">
        <v>8001</v>
      </c>
      <c r="G78">
        <v>10</v>
      </c>
      <c r="H78">
        <v>0</v>
      </c>
      <c r="I78" s="2"/>
    </row>
    <row r="79" spans="1:16" x14ac:dyDescent="0.25">
      <c r="A79">
        <v>8</v>
      </c>
      <c r="B79" t="s">
        <v>17</v>
      </c>
      <c r="C79" s="2" t="s">
        <v>80</v>
      </c>
      <c r="D79" t="s">
        <v>69</v>
      </c>
      <c r="E79">
        <v>134</v>
      </c>
      <c r="F79">
        <v>8128</v>
      </c>
      <c r="G79">
        <v>10</v>
      </c>
      <c r="H79">
        <v>0</v>
      </c>
      <c r="I79" s="2"/>
    </row>
    <row r="80" spans="1:16" x14ac:dyDescent="0.25">
      <c r="A80">
        <v>9</v>
      </c>
      <c r="B80" t="s">
        <v>18</v>
      </c>
      <c r="C80" s="2" t="s">
        <v>80</v>
      </c>
      <c r="D80" t="s">
        <v>69</v>
      </c>
      <c r="E80">
        <v>134</v>
      </c>
      <c r="F80">
        <v>8128</v>
      </c>
      <c r="G80">
        <v>10</v>
      </c>
      <c r="H80">
        <v>0</v>
      </c>
      <c r="I80" s="2"/>
    </row>
    <row r="81" spans="1:16" x14ac:dyDescent="0.25">
      <c r="A81">
        <v>10</v>
      </c>
      <c r="B81" t="s">
        <v>19</v>
      </c>
      <c r="C81" s="2" t="s">
        <v>80</v>
      </c>
      <c r="D81" t="s">
        <v>69</v>
      </c>
      <c r="E81">
        <v>144</v>
      </c>
      <c r="F81">
        <v>9453</v>
      </c>
      <c r="G81">
        <v>10</v>
      </c>
      <c r="H81">
        <v>0</v>
      </c>
      <c r="I81" s="2"/>
    </row>
    <row r="82" spans="1:16" x14ac:dyDescent="0.25">
      <c r="A82">
        <v>11</v>
      </c>
      <c r="B82" t="s">
        <v>20</v>
      </c>
      <c r="C82" s="2" t="s">
        <v>81</v>
      </c>
      <c r="D82" t="s">
        <v>69</v>
      </c>
      <c r="E82">
        <v>140</v>
      </c>
      <c r="F82">
        <v>8911</v>
      </c>
      <c r="G82">
        <v>10</v>
      </c>
      <c r="H82">
        <v>0</v>
      </c>
      <c r="I82" s="2">
        <f>AVERAGE(E82:E86)</f>
        <v>139</v>
      </c>
      <c r="J82">
        <f>MAX(E82:E86)</f>
        <v>144</v>
      </c>
      <c r="K82" s="2">
        <f>AVERAGE(F82:F86)</f>
        <v>8789.2000000000007</v>
      </c>
      <c r="L82">
        <f>MAX(F82:F86)</f>
        <v>9453</v>
      </c>
      <c r="M82" s="2">
        <f>AVERAGE(G82:G86)</f>
        <v>10</v>
      </c>
      <c r="N82">
        <f>MAX(G82:G86)</f>
        <v>10</v>
      </c>
      <c r="O82" s="2">
        <f>AVERAGE(H82:H86)</f>
        <v>0</v>
      </c>
      <c r="P82">
        <f>MAX(H82:H86)</f>
        <v>0</v>
      </c>
    </row>
    <row r="83" spans="1:16" x14ac:dyDescent="0.25">
      <c r="A83">
        <v>12</v>
      </c>
      <c r="B83" t="s">
        <v>21</v>
      </c>
      <c r="C83" s="2" t="s">
        <v>81</v>
      </c>
      <c r="D83" t="s">
        <v>69</v>
      </c>
      <c r="E83">
        <v>134</v>
      </c>
      <c r="F83">
        <v>8128</v>
      </c>
      <c r="G83">
        <v>10</v>
      </c>
      <c r="H83">
        <v>0</v>
      </c>
      <c r="I83" s="2"/>
    </row>
    <row r="84" spans="1:16" x14ac:dyDescent="0.25">
      <c r="A84">
        <v>13</v>
      </c>
      <c r="B84" t="s">
        <v>22</v>
      </c>
      <c r="C84" s="2" t="s">
        <v>81</v>
      </c>
      <c r="D84" t="s">
        <v>69</v>
      </c>
      <c r="E84">
        <v>133</v>
      </c>
      <c r="F84">
        <v>8001</v>
      </c>
      <c r="G84">
        <v>10</v>
      </c>
      <c r="H84">
        <v>0</v>
      </c>
      <c r="I84" s="2"/>
    </row>
    <row r="85" spans="1:16" x14ac:dyDescent="0.25">
      <c r="A85">
        <v>14</v>
      </c>
      <c r="B85" t="s">
        <v>23</v>
      </c>
      <c r="C85" s="2" t="s">
        <v>81</v>
      </c>
      <c r="D85" t="s">
        <v>69</v>
      </c>
      <c r="E85">
        <v>144</v>
      </c>
      <c r="F85">
        <v>9453</v>
      </c>
      <c r="G85">
        <v>10</v>
      </c>
      <c r="H85">
        <v>0</v>
      </c>
      <c r="I85" s="2"/>
    </row>
    <row r="86" spans="1:16" x14ac:dyDescent="0.25">
      <c r="A86">
        <v>15</v>
      </c>
      <c r="B86" t="s">
        <v>24</v>
      </c>
      <c r="C86" s="2" t="s">
        <v>81</v>
      </c>
      <c r="D86" t="s">
        <v>69</v>
      </c>
      <c r="E86">
        <v>144</v>
      </c>
      <c r="F86">
        <v>9453</v>
      </c>
      <c r="G86">
        <v>10</v>
      </c>
      <c r="H86">
        <v>0</v>
      </c>
      <c r="I86" s="2"/>
    </row>
    <row r="87" spans="1:16" x14ac:dyDescent="0.25">
      <c r="A87">
        <v>16</v>
      </c>
      <c r="B87" t="s">
        <v>25</v>
      </c>
      <c r="C87" s="2" t="s">
        <v>82</v>
      </c>
      <c r="D87" t="s">
        <v>69</v>
      </c>
      <c r="E87">
        <v>120</v>
      </c>
      <c r="F87">
        <v>6441</v>
      </c>
      <c r="G87">
        <v>10</v>
      </c>
      <c r="H87">
        <v>0</v>
      </c>
      <c r="I87" s="2">
        <f>AVERAGE(E87:E91)</f>
        <v>128</v>
      </c>
      <c r="J87">
        <f>MAX(E87:E91)</f>
        <v>144</v>
      </c>
      <c r="K87" s="2">
        <f>AVERAGE(F87:F91)</f>
        <v>7532.2</v>
      </c>
      <c r="L87">
        <f>MAX(F87:F91)</f>
        <v>9453</v>
      </c>
      <c r="M87" s="2">
        <f>AVERAGE(G87:G91)</f>
        <v>10</v>
      </c>
      <c r="N87">
        <f>MAX(G87:G91)</f>
        <v>10</v>
      </c>
      <c r="O87" s="2">
        <f>AVERAGE(H87:H91)</f>
        <v>0</v>
      </c>
      <c r="P87">
        <f>MAX(H87:H91)</f>
        <v>0</v>
      </c>
    </row>
    <row r="88" spans="1:16" x14ac:dyDescent="0.25">
      <c r="A88">
        <v>17</v>
      </c>
      <c r="B88" t="s">
        <v>26</v>
      </c>
      <c r="C88" s="2" t="s">
        <v>82</v>
      </c>
      <c r="D88" t="s">
        <v>69</v>
      </c>
      <c r="E88">
        <v>98</v>
      </c>
      <c r="F88">
        <v>4186</v>
      </c>
      <c r="G88">
        <v>10</v>
      </c>
      <c r="H88">
        <v>0</v>
      </c>
      <c r="I88" s="2"/>
    </row>
    <row r="89" spans="1:16" x14ac:dyDescent="0.25">
      <c r="A89">
        <v>18</v>
      </c>
      <c r="B89" t="s">
        <v>27</v>
      </c>
      <c r="C89" s="2" t="s">
        <v>82</v>
      </c>
      <c r="D89" t="s">
        <v>69</v>
      </c>
      <c r="E89">
        <v>134</v>
      </c>
      <c r="F89">
        <v>8128</v>
      </c>
      <c r="G89">
        <v>10</v>
      </c>
      <c r="H89">
        <v>0</v>
      </c>
      <c r="I89" s="2"/>
    </row>
    <row r="90" spans="1:16" x14ac:dyDescent="0.25">
      <c r="A90">
        <v>19</v>
      </c>
      <c r="B90" t="s">
        <v>28</v>
      </c>
      <c r="C90" s="2" t="s">
        <v>82</v>
      </c>
      <c r="D90" t="s">
        <v>69</v>
      </c>
      <c r="E90">
        <v>144</v>
      </c>
      <c r="F90">
        <v>9453</v>
      </c>
      <c r="G90">
        <v>10</v>
      </c>
      <c r="H90">
        <v>0</v>
      </c>
      <c r="I90" s="2"/>
    </row>
    <row r="91" spans="1:16" x14ac:dyDescent="0.25">
      <c r="A91">
        <v>20</v>
      </c>
      <c r="B91" t="s">
        <v>29</v>
      </c>
      <c r="C91" s="2" t="s">
        <v>82</v>
      </c>
      <c r="D91" t="s">
        <v>69</v>
      </c>
      <c r="E91">
        <v>144</v>
      </c>
      <c r="F91">
        <v>9453</v>
      </c>
      <c r="G91">
        <v>10</v>
      </c>
      <c r="H91">
        <v>0</v>
      </c>
      <c r="I91" s="2"/>
    </row>
    <row r="92" spans="1:16" x14ac:dyDescent="0.25">
      <c r="A92">
        <v>21</v>
      </c>
      <c r="B92" t="s">
        <v>30</v>
      </c>
      <c r="C92" s="2" t="s">
        <v>83</v>
      </c>
      <c r="D92" t="s">
        <v>69</v>
      </c>
      <c r="E92">
        <v>126</v>
      </c>
      <c r="F92">
        <v>7140</v>
      </c>
      <c r="G92">
        <v>10</v>
      </c>
      <c r="H92">
        <v>0</v>
      </c>
      <c r="I92" s="2">
        <f>AVERAGE(E92:E96)</f>
        <v>91.8</v>
      </c>
      <c r="J92">
        <f>MAX(E92:E96)</f>
        <v>126</v>
      </c>
      <c r="K92" s="2">
        <f>AVERAGE(F92:F96)</f>
        <v>4027.8</v>
      </c>
      <c r="L92">
        <f>MAX(F92:F96)</f>
        <v>7140</v>
      </c>
      <c r="M92" s="2">
        <f>AVERAGE(G92:G96)</f>
        <v>6.6</v>
      </c>
      <c r="N92">
        <f>MAX(G92:G96)</f>
        <v>10</v>
      </c>
      <c r="O92" s="2">
        <f>AVERAGE(H92:H96)</f>
        <v>0</v>
      </c>
      <c r="P92">
        <f>MAX(H92:H96)</f>
        <v>0</v>
      </c>
    </row>
    <row r="93" spans="1:16" x14ac:dyDescent="0.25">
      <c r="A93">
        <v>22</v>
      </c>
      <c r="B93" t="s">
        <v>31</v>
      </c>
      <c r="C93" s="2" t="s">
        <v>83</v>
      </c>
      <c r="D93" t="s">
        <v>69</v>
      </c>
      <c r="E93">
        <v>69</v>
      </c>
      <c r="F93">
        <v>1953</v>
      </c>
      <c r="G93">
        <v>5</v>
      </c>
      <c r="H93">
        <v>0</v>
      </c>
      <c r="I93" s="2"/>
    </row>
    <row r="94" spans="1:16" x14ac:dyDescent="0.25">
      <c r="A94">
        <v>23</v>
      </c>
      <c r="B94" t="s">
        <v>32</v>
      </c>
      <c r="C94" s="2" t="s">
        <v>83</v>
      </c>
      <c r="D94" t="s">
        <v>69</v>
      </c>
      <c r="E94">
        <v>69</v>
      </c>
      <c r="F94">
        <v>1953</v>
      </c>
      <c r="G94">
        <v>4</v>
      </c>
      <c r="H94">
        <v>0</v>
      </c>
      <c r="I94" s="2"/>
    </row>
    <row r="95" spans="1:16" x14ac:dyDescent="0.25">
      <c r="A95">
        <v>24</v>
      </c>
      <c r="B95" t="s">
        <v>33</v>
      </c>
      <c r="C95" s="2" t="s">
        <v>83</v>
      </c>
      <c r="D95" t="s">
        <v>69</v>
      </c>
      <c r="E95">
        <v>69</v>
      </c>
      <c r="F95">
        <v>1953</v>
      </c>
      <c r="G95">
        <v>4</v>
      </c>
      <c r="H95">
        <v>0</v>
      </c>
      <c r="I95" s="2"/>
    </row>
    <row r="96" spans="1:16" x14ac:dyDescent="0.25">
      <c r="A96">
        <v>25</v>
      </c>
      <c r="B96" t="s">
        <v>34</v>
      </c>
      <c r="C96" s="2" t="s">
        <v>83</v>
      </c>
      <c r="D96" t="s">
        <v>69</v>
      </c>
      <c r="E96">
        <v>126</v>
      </c>
      <c r="F96">
        <v>7140</v>
      </c>
      <c r="G96">
        <v>10</v>
      </c>
      <c r="H96">
        <v>0</v>
      </c>
      <c r="I96" s="2"/>
    </row>
    <row r="97" spans="1:16" x14ac:dyDescent="0.25">
      <c r="A97">
        <v>26</v>
      </c>
      <c r="B97" t="s">
        <v>35</v>
      </c>
      <c r="C97" s="2" t="s">
        <v>84</v>
      </c>
      <c r="D97" t="s">
        <v>69</v>
      </c>
      <c r="E97">
        <v>71</v>
      </c>
      <c r="F97">
        <v>2080</v>
      </c>
      <c r="G97">
        <v>7</v>
      </c>
      <c r="H97">
        <v>0</v>
      </c>
      <c r="I97" s="2">
        <f>AVERAGE(E97:E101)</f>
        <v>80.8</v>
      </c>
      <c r="J97">
        <f>MAX(E97:E101)</f>
        <v>120</v>
      </c>
      <c r="K97" s="2">
        <f>AVERAGE(F97:F101)</f>
        <v>2952.2</v>
      </c>
      <c r="L97">
        <f>MAX(F97:F101)</f>
        <v>6441</v>
      </c>
      <c r="M97" s="2">
        <f>AVERAGE(G97:G101)</f>
        <v>7.4</v>
      </c>
      <c r="N97">
        <f>MAX(G97:G101)</f>
        <v>9</v>
      </c>
      <c r="O97" s="2">
        <f>AVERAGE(H97:H101)</f>
        <v>0</v>
      </c>
      <c r="P97">
        <f>MAX(H97:H101)</f>
        <v>0</v>
      </c>
    </row>
    <row r="98" spans="1:16" x14ac:dyDescent="0.25">
      <c r="A98">
        <v>27</v>
      </c>
      <c r="B98" t="s">
        <v>36</v>
      </c>
      <c r="C98" s="2" t="s">
        <v>84</v>
      </c>
      <c r="D98" t="s">
        <v>69</v>
      </c>
      <c r="E98">
        <v>71</v>
      </c>
      <c r="F98">
        <v>2080</v>
      </c>
      <c r="G98">
        <v>7</v>
      </c>
      <c r="H98">
        <v>0</v>
      </c>
      <c r="I98" s="2"/>
    </row>
    <row r="99" spans="1:16" x14ac:dyDescent="0.25">
      <c r="A99">
        <v>28</v>
      </c>
      <c r="B99" t="s">
        <v>37</v>
      </c>
      <c r="C99" s="2" t="s">
        <v>84</v>
      </c>
      <c r="D99" t="s">
        <v>69</v>
      </c>
      <c r="E99">
        <v>71</v>
      </c>
      <c r="F99">
        <v>2080</v>
      </c>
      <c r="G99">
        <v>7</v>
      </c>
      <c r="H99">
        <v>0</v>
      </c>
      <c r="I99" s="2"/>
    </row>
    <row r="100" spans="1:16" x14ac:dyDescent="0.25">
      <c r="A100">
        <v>29</v>
      </c>
      <c r="B100" t="s">
        <v>38</v>
      </c>
      <c r="C100" s="2" t="s">
        <v>84</v>
      </c>
      <c r="D100" t="s">
        <v>69</v>
      </c>
      <c r="E100">
        <v>71</v>
      </c>
      <c r="F100">
        <v>2080</v>
      </c>
      <c r="G100">
        <v>7</v>
      </c>
      <c r="H100">
        <v>0</v>
      </c>
      <c r="I100" s="2"/>
    </row>
    <row r="101" spans="1:16" x14ac:dyDescent="0.25">
      <c r="A101">
        <v>30</v>
      </c>
      <c r="B101" t="s">
        <v>39</v>
      </c>
      <c r="C101" s="2" t="s">
        <v>84</v>
      </c>
      <c r="D101" t="s">
        <v>69</v>
      </c>
      <c r="E101">
        <v>120</v>
      </c>
      <c r="F101">
        <v>6441</v>
      </c>
      <c r="G101">
        <v>9</v>
      </c>
      <c r="H101">
        <v>0</v>
      </c>
      <c r="I101" s="2"/>
    </row>
    <row r="102" spans="1:16" x14ac:dyDescent="0.25">
      <c r="A102">
        <v>31</v>
      </c>
      <c r="B102" t="s">
        <v>40</v>
      </c>
      <c r="C102" s="2" t="s">
        <v>77</v>
      </c>
      <c r="D102" t="s">
        <v>69</v>
      </c>
      <c r="E102">
        <v>126</v>
      </c>
      <c r="F102">
        <v>7140</v>
      </c>
      <c r="G102">
        <v>10</v>
      </c>
      <c r="H102">
        <v>0</v>
      </c>
      <c r="I102" s="2">
        <f>AVERAGE(E102:E106)</f>
        <v>241.8</v>
      </c>
      <c r="J102">
        <f>MAX(E102:E106)</f>
        <v>735</v>
      </c>
      <c r="K102" s="2">
        <f>AVERAGE(F102:F106)</f>
        <v>54101.2</v>
      </c>
      <c r="L102">
        <f>MAX(F102:F106)</f>
        <v>245350</v>
      </c>
      <c r="M102" s="2">
        <f>AVERAGE(G102:G106)</f>
        <v>10</v>
      </c>
      <c r="N102">
        <f>MAX(G102:G106)</f>
        <v>10</v>
      </c>
      <c r="O102" s="2">
        <f>AVERAGE(H102:H106)</f>
        <v>58.4</v>
      </c>
      <c r="P102">
        <f>MAX(H102:H106)</f>
        <v>292</v>
      </c>
    </row>
    <row r="103" spans="1:16" x14ac:dyDescent="0.25">
      <c r="A103">
        <v>32</v>
      </c>
      <c r="B103" t="s">
        <v>41</v>
      </c>
      <c r="C103" s="2" t="s">
        <v>77</v>
      </c>
      <c r="D103" t="s">
        <v>69</v>
      </c>
      <c r="E103">
        <v>111</v>
      </c>
      <c r="F103">
        <v>5460</v>
      </c>
      <c r="G103">
        <v>10</v>
      </c>
      <c r="H103">
        <v>0</v>
      </c>
      <c r="I103" s="2"/>
    </row>
    <row r="104" spans="1:16" x14ac:dyDescent="0.25">
      <c r="A104">
        <v>33</v>
      </c>
      <c r="B104" t="s">
        <v>42</v>
      </c>
      <c r="C104" s="2" t="s">
        <v>77</v>
      </c>
      <c r="D104" t="s">
        <v>69</v>
      </c>
      <c r="E104">
        <v>115</v>
      </c>
      <c r="F104">
        <v>5886</v>
      </c>
      <c r="G104">
        <v>10</v>
      </c>
      <c r="H104">
        <v>0</v>
      </c>
      <c r="I104" s="2"/>
    </row>
    <row r="105" spans="1:16" x14ac:dyDescent="0.25">
      <c r="A105">
        <v>34</v>
      </c>
      <c r="B105" t="s">
        <v>43</v>
      </c>
      <c r="C105" s="2" t="s">
        <v>77</v>
      </c>
      <c r="D105" t="s">
        <v>69</v>
      </c>
      <c r="E105">
        <v>122</v>
      </c>
      <c r="F105">
        <v>6670</v>
      </c>
      <c r="G105">
        <v>10</v>
      </c>
      <c r="H105">
        <v>0</v>
      </c>
      <c r="I105" s="2"/>
    </row>
    <row r="106" spans="1:16" x14ac:dyDescent="0.25">
      <c r="A106">
        <v>35</v>
      </c>
      <c r="B106" t="s">
        <v>44</v>
      </c>
      <c r="C106" s="2" t="s">
        <v>77</v>
      </c>
      <c r="D106" t="s">
        <v>69</v>
      </c>
      <c r="E106">
        <v>735</v>
      </c>
      <c r="F106">
        <v>245350</v>
      </c>
      <c r="G106">
        <v>10</v>
      </c>
      <c r="H106">
        <v>292</v>
      </c>
      <c r="I106" s="2"/>
    </row>
    <row r="107" spans="1:16" x14ac:dyDescent="0.25">
      <c r="A107">
        <v>36</v>
      </c>
      <c r="B107" t="s">
        <v>45</v>
      </c>
      <c r="C107" s="2" t="s">
        <v>7</v>
      </c>
      <c r="D107" t="s">
        <v>69</v>
      </c>
      <c r="E107">
        <v>136</v>
      </c>
      <c r="F107">
        <v>8385</v>
      </c>
      <c r="G107">
        <v>10</v>
      </c>
      <c r="H107">
        <v>1</v>
      </c>
      <c r="I107" s="2">
        <f>AVERAGE(E107:E111)</f>
        <v>246</v>
      </c>
      <c r="J107">
        <f>MAX(E107:E111)</f>
        <v>738</v>
      </c>
      <c r="K107" s="2">
        <f>AVERAGE(F107:F111)</f>
        <v>54945.4</v>
      </c>
      <c r="L107">
        <f>MAX(F107:F111)</f>
        <v>247456</v>
      </c>
      <c r="M107" s="2">
        <f>AVERAGE(G107:G111)</f>
        <v>10</v>
      </c>
      <c r="N107">
        <f>MAX(G107:G111)</f>
        <v>10</v>
      </c>
      <c r="O107" s="2">
        <f>AVERAGE(H107:H111)</f>
        <v>65.2</v>
      </c>
      <c r="P107">
        <f>MAX(H107:H111)</f>
        <v>325</v>
      </c>
    </row>
    <row r="108" spans="1:16" x14ac:dyDescent="0.25">
      <c r="A108">
        <v>37</v>
      </c>
      <c r="B108" t="s">
        <v>46</v>
      </c>
      <c r="C108" s="2" t="s">
        <v>7</v>
      </c>
      <c r="D108" t="s">
        <v>69</v>
      </c>
      <c r="E108">
        <v>116</v>
      </c>
      <c r="F108">
        <v>5995</v>
      </c>
      <c r="G108">
        <v>10</v>
      </c>
      <c r="H108">
        <v>0</v>
      </c>
      <c r="I108" s="2"/>
    </row>
    <row r="109" spans="1:16" x14ac:dyDescent="0.25">
      <c r="A109">
        <v>38</v>
      </c>
      <c r="B109" t="s">
        <v>47</v>
      </c>
      <c r="C109" s="2" t="s">
        <v>7</v>
      </c>
      <c r="D109" t="s">
        <v>69</v>
      </c>
      <c r="E109">
        <v>123</v>
      </c>
      <c r="F109">
        <v>6786</v>
      </c>
      <c r="G109">
        <v>10</v>
      </c>
      <c r="H109">
        <v>0</v>
      </c>
      <c r="I109" s="2"/>
    </row>
    <row r="110" spans="1:16" x14ac:dyDescent="0.25">
      <c r="A110">
        <v>39</v>
      </c>
      <c r="B110" t="s">
        <v>48</v>
      </c>
      <c r="C110" s="2" t="s">
        <v>7</v>
      </c>
      <c r="D110" t="s">
        <v>69</v>
      </c>
      <c r="E110">
        <v>117</v>
      </c>
      <c r="F110">
        <v>6105</v>
      </c>
      <c r="G110">
        <v>10</v>
      </c>
      <c r="H110">
        <v>0</v>
      </c>
      <c r="I110" s="2"/>
    </row>
    <row r="111" spans="1:16" x14ac:dyDescent="0.25">
      <c r="A111">
        <v>40</v>
      </c>
      <c r="B111" t="s">
        <v>1</v>
      </c>
      <c r="C111" s="2" t="s">
        <v>7</v>
      </c>
      <c r="D111" t="s">
        <v>69</v>
      </c>
      <c r="E111">
        <v>738</v>
      </c>
      <c r="F111">
        <v>247456</v>
      </c>
      <c r="G111">
        <v>10</v>
      </c>
      <c r="H111">
        <v>325</v>
      </c>
      <c r="I111" s="2"/>
    </row>
    <row r="112" spans="1:16" x14ac:dyDescent="0.25">
      <c r="A112">
        <v>41</v>
      </c>
      <c r="B112" t="s">
        <v>49</v>
      </c>
      <c r="C112" s="2" t="s">
        <v>5</v>
      </c>
      <c r="D112" t="s">
        <v>69</v>
      </c>
      <c r="E112">
        <v>162</v>
      </c>
      <c r="F112">
        <v>12090</v>
      </c>
      <c r="G112">
        <v>10</v>
      </c>
      <c r="H112">
        <v>1</v>
      </c>
      <c r="I112" s="2">
        <f>AVERAGE(E112:E116)</f>
        <v>258.39999999999998</v>
      </c>
      <c r="J112">
        <f>MAX(E112:E116)</f>
        <v>737</v>
      </c>
      <c r="K112" s="2">
        <f>AVERAGE(F112:F116)</f>
        <v>56492</v>
      </c>
      <c r="L112">
        <f>MAX(F112:F116)</f>
        <v>246753</v>
      </c>
      <c r="M112" s="2">
        <f>AVERAGE(G112:G116)</f>
        <v>8.8000000000000007</v>
      </c>
      <c r="N112">
        <f>MAX(G112:G116)</f>
        <v>10</v>
      </c>
      <c r="O112" s="2">
        <f>AVERAGE(H112:H116)</f>
        <v>62.4</v>
      </c>
      <c r="P112">
        <f>MAX(H112:H116)</f>
        <v>310</v>
      </c>
    </row>
    <row r="113" spans="1:16" x14ac:dyDescent="0.25">
      <c r="A113">
        <v>42</v>
      </c>
      <c r="B113" t="s">
        <v>50</v>
      </c>
      <c r="C113" s="2" t="s">
        <v>5</v>
      </c>
      <c r="D113" t="s">
        <v>69</v>
      </c>
      <c r="E113">
        <v>122</v>
      </c>
      <c r="F113">
        <v>6670</v>
      </c>
      <c r="G113">
        <v>10</v>
      </c>
      <c r="H113">
        <v>0</v>
      </c>
      <c r="I113" s="2"/>
    </row>
    <row r="114" spans="1:16" x14ac:dyDescent="0.25">
      <c r="A114">
        <v>43</v>
      </c>
      <c r="B114" t="s">
        <v>51</v>
      </c>
      <c r="C114" s="2" t="s">
        <v>5</v>
      </c>
      <c r="D114" t="s">
        <v>69</v>
      </c>
      <c r="E114">
        <v>118</v>
      </c>
      <c r="F114">
        <v>6216</v>
      </c>
      <c r="G114">
        <v>4</v>
      </c>
      <c r="H114">
        <v>0</v>
      </c>
      <c r="I114" s="2"/>
    </row>
    <row r="115" spans="1:16" x14ac:dyDescent="0.25">
      <c r="A115">
        <v>44</v>
      </c>
      <c r="B115" t="s">
        <v>52</v>
      </c>
      <c r="C115" s="2" t="s">
        <v>5</v>
      </c>
      <c r="D115" t="s">
        <v>69</v>
      </c>
      <c r="E115">
        <v>153</v>
      </c>
      <c r="F115">
        <v>10731</v>
      </c>
      <c r="G115">
        <v>10</v>
      </c>
      <c r="H115">
        <v>1</v>
      </c>
      <c r="I115" s="2"/>
    </row>
    <row r="116" spans="1:16" x14ac:dyDescent="0.25">
      <c r="A116">
        <v>45</v>
      </c>
      <c r="B116" t="s">
        <v>53</v>
      </c>
      <c r="C116" s="2" t="s">
        <v>5</v>
      </c>
      <c r="D116" t="s">
        <v>69</v>
      </c>
      <c r="E116">
        <v>737</v>
      </c>
      <c r="F116">
        <v>246753</v>
      </c>
      <c r="G116">
        <v>10</v>
      </c>
      <c r="H116">
        <v>310</v>
      </c>
      <c r="I116" s="2"/>
    </row>
    <row r="117" spans="1:16" x14ac:dyDescent="0.25">
      <c r="A117">
        <v>46</v>
      </c>
      <c r="B117" t="s">
        <v>54</v>
      </c>
      <c r="C117" s="2" t="s">
        <v>8</v>
      </c>
      <c r="D117" t="s">
        <v>69</v>
      </c>
      <c r="E117">
        <v>164</v>
      </c>
      <c r="F117">
        <v>12403</v>
      </c>
      <c r="G117">
        <v>10</v>
      </c>
      <c r="H117">
        <v>1</v>
      </c>
      <c r="I117" s="2">
        <f>AVERAGE(E117:E121)</f>
        <v>280</v>
      </c>
      <c r="J117">
        <f>MAX(E117:E121)</f>
        <v>866</v>
      </c>
      <c r="K117" s="2">
        <f>AVERAGE(F117:F121)</f>
        <v>74559.8</v>
      </c>
      <c r="L117">
        <f>MAX(F117:F121)</f>
        <v>339900</v>
      </c>
      <c r="M117" s="2">
        <f>AVERAGE(G117:G121)</f>
        <v>10</v>
      </c>
      <c r="N117">
        <f>MAX(G117:G121)</f>
        <v>10</v>
      </c>
      <c r="O117" s="2">
        <f>AVERAGE(H117:H121)</f>
        <v>105.8</v>
      </c>
      <c r="P117">
        <f>MAX(H117:H121)</f>
        <v>528</v>
      </c>
    </row>
    <row r="118" spans="1:16" x14ac:dyDescent="0.25">
      <c r="A118">
        <v>47</v>
      </c>
      <c r="B118" t="s">
        <v>55</v>
      </c>
      <c r="C118" s="2" t="s">
        <v>8</v>
      </c>
      <c r="D118" t="s">
        <v>69</v>
      </c>
      <c r="E118">
        <v>126</v>
      </c>
      <c r="F118">
        <v>7140</v>
      </c>
      <c r="G118">
        <v>10</v>
      </c>
      <c r="H118">
        <v>0</v>
      </c>
      <c r="I118" s="2"/>
    </row>
    <row r="119" spans="1:16" x14ac:dyDescent="0.25">
      <c r="A119">
        <v>48</v>
      </c>
      <c r="B119" t="s">
        <v>56</v>
      </c>
      <c r="C119" s="2" t="s">
        <v>8</v>
      </c>
      <c r="D119" t="s">
        <v>69</v>
      </c>
      <c r="E119">
        <v>118</v>
      </c>
      <c r="F119">
        <v>6216</v>
      </c>
      <c r="G119">
        <v>10</v>
      </c>
      <c r="H119">
        <v>0</v>
      </c>
      <c r="I119" s="2"/>
    </row>
    <row r="120" spans="1:16" x14ac:dyDescent="0.25">
      <c r="A120">
        <v>49</v>
      </c>
      <c r="B120" t="s">
        <v>57</v>
      </c>
      <c r="C120" s="2" t="s">
        <v>8</v>
      </c>
      <c r="D120" t="s">
        <v>69</v>
      </c>
      <c r="E120">
        <v>126</v>
      </c>
      <c r="F120">
        <v>7140</v>
      </c>
      <c r="G120">
        <v>10</v>
      </c>
      <c r="H120">
        <v>0</v>
      </c>
      <c r="I120" s="2"/>
    </row>
    <row r="121" spans="1:16" x14ac:dyDescent="0.25">
      <c r="A121">
        <v>50</v>
      </c>
      <c r="B121" t="s">
        <v>2</v>
      </c>
      <c r="C121" s="2" t="s">
        <v>8</v>
      </c>
      <c r="D121" t="s">
        <v>69</v>
      </c>
      <c r="E121">
        <v>866</v>
      </c>
      <c r="F121">
        <v>339900</v>
      </c>
      <c r="G121">
        <v>10</v>
      </c>
      <c r="H121">
        <v>528</v>
      </c>
      <c r="I121" s="2"/>
    </row>
    <row r="122" spans="1:16" x14ac:dyDescent="0.25">
      <c r="A122">
        <v>51</v>
      </c>
      <c r="B122" t="s">
        <v>58</v>
      </c>
      <c r="C122" s="2" t="s">
        <v>9</v>
      </c>
      <c r="D122" t="s">
        <v>69</v>
      </c>
      <c r="E122">
        <v>109</v>
      </c>
      <c r="F122">
        <v>5253</v>
      </c>
      <c r="G122">
        <v>10</v>
      </c>
      <c r="H122">
        <v>0</v>
      </c>
      <c r="I122" s="2">
        <f>AVERAGE(E122:E126)</f>
        <v>232.8</v>
      </c>
      <c r="J122">
        <f>MAX(E122:E126)</f>
        <v>737</v>
      </c>
      <c r="K122" s="2">
        <f>AVERAGE(F122:F126)</f>
        <v>53371.199999999997</v>
      </c>
      <c r="L122">
        <f>MAX(F122:F126)</f>
        <v>246753</v>
      </c>
      <c r="M122" s="2">
        <f>AVERAGE(G122:G126)</f>
        <v>10</v>
      </c>
      <c r="N122">
        <f>MAX(G122:G126)</f>
        <v>10</v>
      </c>
      <c r="O122" s="2">
        <f>AVERAGE(H122:H126)</f>
        <v>60.4</v>
      </c>
      <c r="P122">
        <f>MAX(H122:H126)</f>
        <v>302</v>
      </c>
    </row>
    <row r="123" spans="1:16" x14ac:dyDescent="0.25">
      <c r="A123">
        <v>52</v>
      </c>
      <c r="B123" t="s">
        <v>59</v>
      </c>
      <c r="C123" s="2" t="s">
        <v>9</v>
      </c>
      <c r="D123" t="s">
        <v>69</v>
      </c>
      <c r="E123">
        <v>106</v>
      </c>
      <c r="F123">
        <v>4950</v>
      </c>
      <c r="G123">
        <v>10</v>
      </c>
      <c r="H123">
        <v>0</v>
      </c>
      <c r="I123" s="2"/>
    </row>
    <row r="124" spans="1:16" x14ac:dyDescent="0.25">
      <c r="A124">
        <v>53</v>
      </c>
      <c r="B124" t="s">
        <v>60</v>
      </c>
      <c r="C124" s="2" t="s">
        <v>9</v>
      </c>
      <c r="D124" t="s">
        <v>69</v>
      </c>
      <c r="E124">
        <v>106</v>
      </c>
      <c r="F124">
        <v>4950</v>
      </c>
      <c r="G124">
        <v>10</v>
      </c>
      <c r="H124">
        <v>0</v>
      </c>
      <c r="I124" s="2"/>
    </row>
    <row r="125" spans="1:16" x14ac:dyDescent="0.25">
      <c r="A125">
        <v>54</v>
      </c>
      <c r="B125" t="s">
        <v>61</v>
      </c>
      <c r="C125" s="2" t="s">
        <v>9</v>
      </c>
      <c r="D125" t="s">
        <v>69</v>
      </c>
      <c r="E125">
        <v>106</v>
      </c>
      <c r="F125">
        <v>4950</v>
      </c>
      <c r="G125">
        <v>10</v>
      </c>
      <c r="H125">
        <v>0</v>
      </c>
      <c r="I125" s="2"/>
    </row>
    <row r="126" spans="1:16" x14ac:dyDescent="0.25">
      <c r="A126">
        <v>55</v>
      </c>
      <c r="B126" t="s">
        <v>62</v>
      </c>
      <c r="C126" s="2" t="s">
        <v>9</v>
      </c>
      <c r="D126" t="s">
        <v>69</v>
      </c>
      <c r="E126">
        <v>737</v>
      </c>
      <c r="F126">
        <v>246753</v>
      </c>
      <c r="G126">
        <v>10</v>
      </c>
      <c r="H126">
        <v>302</v>
      </c>
      <c r="I126" s="2"/>
    </row>
    <row r="127" spans="1:16" x14ac:dyDescent="0.25">
      <c r="A127">
        <v>56</v>
      </c>
      <c r="B127" t="s">
        <v>63</v>
      </c>
      <c r="C127" s="2" t="s">
        <v>78</v>
      </c>
      <c r="D127" t="s">
        <v>69</v>
      </c>
      <c r="E127">
        <v>180</v>
      </c>
      <c r="F127">
        <v>14878</v>
      </c>
      <c r="G127">
        <v>10</v>
      </c>
      <c r="H127">
        <v>2</v>
      </c>
      <c r="I127" s="2">
        <f>AVERAGE(E127:E131)</f>
        <v>260.39999999999998</v>
      </c>
      <c r="J127">
        <f>MAX(E127:E131)</f>
        <v>701</v>
      </c>
      <c r="K127" s="2">
        <f>AVERAGE(F127:F131)</f>
        <v>53106.2</v>
      </c>
      <c r="L127">
        <f>MAX(F127:F131)</f>
        <v>222778</v>
      </c>
      <c r="M127" s="2">
        <f>AVERAGE(G127:G131)</f>
        <v>10</v>
      </c>
      <c r="N127">
        <f>MAX(G127:G131)</f>
        <v>10</v>
      </c>
      <c r="O127" s="2">
        <f>AVERAGE(H127:H131)</f>
        <v>57.8</v>
      </c>
      <c r="P127">
        <f>MAX(H127:H131)</f>
        <v>285</v>
      </c>
    </row>
    <row r="128" spans="1:16" x14ac:dyDescent="0.25">
      <c r="A128">
        <v>57</v>
      </c>
      <c r="B128" t="s">
        <v>64</v>
      </c>
      <c r="C128" s="2" t="s">
        <v>78</v>
      </c>
      <c r="D128" t="s">
        <v>69</v>
      </c>
      <c r="E128">
        <v>177</v>
      </c>
      <c r="F128">
        <v>14535</v>
      </c>
      <c r="G128">
        <v>10</v>
      </c>
      <c r="H128">
        <v>2</v>
      </c>
      <c r="I128" s="2"/>
    </row>
    <row r="129" spans="1:16" x14ac:dyDescent="0.25">
      <c r="A129">
        <v>58</v>
      </c>
      <c r="B129" t="s">
        <v>65</v>
      </c>
      <c r="C129" s="2" t="s">
        <v>78</v>
      </c>
      <c r="D129" t="s">
        <v>69</v>
      </c>
      <c r="E129">
        <v>122</v>
      </c>
      <c r="F129">
        <v>6670</v>
      </c>
      <c r="G129">
        <v>10</v>
      </c>
      <c r="H129">
        <v>0</v>
      </c>
      <c r="I129" s="2"/>
    </row>
    <row r="130" spans="1:16" x14ac:dyDescent="0.25">
      <c r="A130">
        <v>59</v>
      </c>
      <c r="B130" t="s">
        <v>66</v>
      </c>
      <c r="C130" s="2" t="s">
        <v>78</v>
      </c>
      <c r="D130" t="s">
        <v>69</v>
      </c>
      <c r="E130">
        <v>122</v>
      </c>
      <c r="F130">
        <v>6670</v>
      </c>
      <c r="G130">
        <v>10</v>
      </c>
      <c r="H130">
        <v>0</v>
      </c>
      <c r="I130" s="2"/>
    </row>
    <row r="131" spans="1:16" x14ac:dyDescent="0.25">
      <c r="A131">
        <v>60</v>
      </c>
      <c r="B131" t="s">
        <v>67</v>
      </c>
      <c r="C131" s="2" t="s">
        <v>78</v>
      </c>
      <c r="D131" t="s">
        <v>69</v>
      </c>
      <c r="E131">
        <v>701</v>
      </c>
      <c r="F131">
        <v>222778</v>
      </c>
      <c r="G131">
        <v>10</v>
      </c>
      <c r="H131">
        <v>285</v>
      </c>
      <c r="I131" s="2"/>
    </row>
    <row r="132" spans="1:16" x14ac:dyDescent="0.25">
      <c r="A132">
        <f>1+A131</f>
        <v>61</v>
      </c>
      <c r="B132" t="s">
        <v>94</v>
      </c>
      <c r="C132" t="s">
        <v>104</v>
      </c>
      <c r="D132" t="s">
        <v>69</v>
      </c>
      <c r="E132">
        <v>253</v>
      </c>
      <c r="F132">
        <v>29403</v>
      </c>
      <c r="G132">
        <v>10</v>
      </c>
      <c r="H132">
        <v>5</v>
      </c>
      <c r="I132" s="2">
        <f>AVERAGE(E132:E143)</f>
        <v>257.8</v>
      </c>
      <c r="J132">
        <f>MAX(E132:E143)</f>
        <v>265</v>
      </c>
      <c r="K132" s="2">
        <f>AVERAGE(F132:F143)</f>
        <v>30394.2</v>
      </c>
      <c r="L132">
        <f>MAX(F132:F143)</f>
        <v>32131</v>
      </c>
      <c r="M132" s="2">
        <f>AVERAGE(G132:G143)</f>
        <v>10</v>
      </c>
      <c r="N132">
        <f>MAX(G132:G143)</f>
        <v>10</v>
      </c>
      <c r="O132" s="2">
        <f>AVERAGE(H132:H143)</f>
        <v>5.9</v>
      </c>
      <c r="P132">
        <f>MAX(H132:H143)</f>
        <v>7</v>
      </c>
    </row>
    <row r="133" spans="1:16" x14ac:dyDescent="0.25">
      <c r="A133">
        <f t="shared" ref="A133:A141" si="1">1+A132</f>
        <v>62</v>
      </c>
      <c r="B133" t="s">
        <v>95</v>
      </c>
      <c r="C133" t="s">
        <v>104</v>
      </c>
      <c r="D133" t="s">
        <v>69</v>
      </c>
      <c r="E133">
        <v>265</v>
      </c>
      <c r="F133">
        <v>32131</v>
      </c>
      <c r="G133">
        <v>10</v>
      </c>
      <c r="H133">
        <v>6</v>
      </c>
      <c r="I133" s="2"/>
    </row>
    <row r="134" spans="1:16" x14ac:dyDescent="0.25">
      <c r="A134">
        <f t="shared" si="1"/>
        <v>63</v>
      </c>
      <c r="B134" t="s">
        <v>96</v>
      </c>
      <c r="C134" t="s">
        <v>104</v>
      </c>
      <c r="D134" t="s">
        <v>69</v>
      </c>
      <c r="E134">
        <v>265</v>
      </c>
      <c r="F134">
        <v>32131</v>
      </c>
      <c r="G134">
        <v>10</v>
      </c>
      <c r="H134">
        <v>6</v>
      </c>
      <c r="I134" s="2"/>
    </row>
    <row r="135" spans="1:16" x14ac:dyDescent="0.25">
      <c r="A135">
        <f t="shared" si="1"/>
        <v>64</v>
      </c>
      <c r="B135" t="s">
        <v>97</v>
      </c>
      <c r="C135" t="s">
        <v>104</v>
      </c>
      <c r="D135" t="s">
        <v>69</v>
      </c>
      <c r="E135">
        <v>253</v>
      </c>
      <c r="F135">
        <v>29403</v>
      </c>
      <c r="G135">
        <v>10</v>
      </c>
      <c r="H135">
        <v>5</v>
      </c>
      <c r="I135" s="2"/>
    </row>
    <row r="136" spans="1:16" x14ac:dyDescent="0.25">
      <c r="A136">
        <f t="shared" si="1"/>
        <v>65</v>
      </c>
      <c r="B136" t="s">
        <v>98</v>
      </c>
      <c r="C136" t="s">
        <v>104</v>
      </c>
      <c r="D136" t="s">
        <v>69</v>
      </c>
      <c r="E136">
        <v>253</v>
      </c>
      <c r="F136">
        <v>29403</v>
      </c>
      <c r="G136">
        <v>10</v>
      </c>
      <c r="H136">
        <v>6</v>
      </c>
      <c r="I136" s="2"/>
    </row>
    <row r="137" spans="1:16" x14ac:dyDescent="0.25">
      <c r="A137">
        <f t="shared" si="1"/>
        <v>66</v>
      </c>
      <c r="B137" t="s">
        <v>99</v>
      </c>
      <c r="C137" t="s">
        <v>105</v>
      </c>
      <c r="D137" t="s">
        <v>69</v>
      </c>
      <c r="E137">
        <v>253</v>
      </c>
      <c r="F137">
        <v>29403</v>
      </c>
      <c r="G137">
        <v>10</v>
      </c>
      <c r="H137">
        <v>6</v>
      </c>
      <c r="I137" s="2"/>
    </row>
    <row r="138" spans="1:16" x14ac:dyDescent="0.25">
      <c r="A138">
        <f t="shared" si="1"/>
        <v>67</v>
      </c>
      <c r="B138" t="s">
        <v>100</v>
      </c>
      <c r="C138" t="s">
        <v>105</v>
      </c>
      <c r="D138" t="s">
        <v>69</v>
      </c>
      <c r="E138">
        <v>253</v>
      </c>
      <c r="F138">
        <v>29403</v>
      </c>
      <c r="G138">
        <v>10</v>
      </c>
      <c r="H138">
        <v>5</v>
      </c>
      <c r="I138" s="2"/>
    </row>
    <row r="139" spans="1:16" x14ac:dyDescent="0.25">
      <c r="A139">
        <f t="shared" si="1"/>
        <v>68</v>
      </c>
      <c r="B139" t="s">
        <v>101</v>
      </c>
      <c r="C139" t="s">
        <v>105</v>
      </c>
      <c r="D139" t="s">
        <v>69</v>
      </c>
      <c r="E139">
        <v>253</v>
      </c>
      <c r="F139">
        <v>29403</v>
      </c>
      <c r="G139">
        <v>10</v>
      </c>
      <c r="H139">
        <v>6</v>
      </c>
      <c r="I139" s="2"/>
    </row>
    <row r="140" spans="1:16" x14ac:dyDescent="0.25">
      <c r="A140">
        <f t="shared" si="1"/>
        <v>69</v>
      </c>
      <c r="B140" t="s">
        <v>102</v>
      </c>
      <c r="C140" t="s">
        <v>105</v>
      </c>
      <c r="D140" t="s">
        <v>69</v>
      </c>
      <c r="E140">
        <v>265</v>
      </c>
      <c r="F140">
        <v>32131</v>
      </c>
      <c r="G140">
        <v>10</v>
      </c>
      <c r="H140">
        <v>7</v>
      </c>
      <c r="I140" s="2"/>
    </row>
    <row r="141" spans="1:16" x14ac:dyDescent="0.25">
      <c r="A141">
        <f t="shared" si="1"/>
        <v>70</v>
      </c>
      <c r="B141" t="s">
        <v>103</v>
      </c>
      <c r="C141" t="s">
        <v>105</v>
      </c>
      <c r="D141" t="s">
        <v>69</v>
      </c>
      <c r="E141">
        <v>265</v>
      </c>
      <c r="F141">
        <v>31131</v>
      </c>
      <c r="G141">
        <v>10</v>
      </c>
      <c r="H141">
        <v>7</v>
      </c>
      <c r="I141" s="2"/>
    </row>
    <row r="142" spans="1:16" x14ac:dyDescent="0.25">
      <c r="C142" s="2"/>
      <c r="I142" s="2"/>
    </row>
    <row r="143" spans="1:16" x14ac:dyDescent="0.25">
      <c r="C143" s="2"/>
      <c r="I14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F7F7-EAF3-46EE-ADC1-A20EF71422C6}">
  <dimension ref="A1:K1048576"/>
  <sheetViews>
    <sheetView tabSelected="1" workbookViewId="0">
      <selection activeCell="H32" sqref="H32"/>
    </sheetView>
  </sheetViews>
  <sheetFormatPr defaultRowHeight="15.75" x14ac:dyDescent="0.25"/>
  <sheetData>
    <row r="1" spans="1:11" x14ac:dyDescent="0.25">
      <c r="A1" t="s">
        <v>93</v>
      </c>
      <c r="B1" t="s">
        <v>6</v>
      </c>
      <c r="C1" t="s">
        <v>72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0</v>
      </c>
      <c r="B2" t="s">
        <v>79</v>
      </c>
      <c r="C2" t="s">
        <v>68</v>
      </c>
      <c r="D2">
        <v>122.6</v>
      </c>
      <c r="E2">
        <v>138</v>
      </c>
      <c r="F2">
        <v>7073.2</v>
      </c>
      <c r="G2">
        <v>8646</v>
      </c>
      <c r="H2">
        <v>3.8</v>
      </c>
      <c r="I2">
        <v>7</v>
      </c>
      <c r="J2">
        <v>0.6</v>
      </c>
      <c r="K2">
        <v>1</v>
      </c>
    </row>
    <row r="3" spans="1:11" x14ac:dyDescent="0.25">
      <c r="A3" t="s">
        <v>0</v>
      </c>
      <c r="B3" t="s">
        <v>80</v>
      </c>
      <c r="C3" t="s">
        <v>68</v>
      </c>
      <c r="D3">
        <v>124.8</v>
      </c>
      <c r="E3">
        <v>144</v>
      </c>
      <c r="F3">
        <v>7267.6</v>
      </c>
      <c r="G3">
        <v>9453</v>
      </c>
      <c r="H3">
        <v>3.6</v>
      </c>
      <c r="I3">
        <v>9</v>
      </c>
      <c r="J3">
        <v>0</v>
      </c>
      <c r="K3">
        <v>0</v>
      </c>
    </row>
    <row r="4" spans="1:11" x14ac:dyDescent="0.25">
      <c r="A4" t="s">
        <v>0</v>
      </c>
      <c r="B4" t="s">
        <v>81</v>
      </c>
      <c r="C4" t="s">
        <v>68</v>
      </c>
      <c r="D4">
        <v>139</v>
      </c>
      <c r="E4">
        <v>144</v>
      </c>
      <c r="F4">
        <v>8789.2000000000007</v>
      </c>
      <c r="G4">
        <v>9453</v>
      </c>
      <c r="H4">
        <v>1</v>
      </c>
      <c r="I4">
        <v>1</v>
      </c>
      <c r="J4">
        <v>0</v>
      </c>
      <c r="K4">
        <v>0</v>
      </c>
    </row>
    <row r="5" spans="1:11" x14ac:dyDescent="0.25">
      <c r="A5" t="s">
        <v>0</v>
      </c>
      <c r="B5" t="s">
        <v>82</v>
      </c>
      <c r="C5" t="s">
        <v>68</v>
      </c>
      <c r="D5">
        <v>128</v>
      </c>
      <c r="E5">
        <v>144</v>
      </c>
      <c r="F5">
        <v>7532.2</v>
      </c>
      <c r="G5">
        <v>9453</v>
      </c>
      <c r="H5">
        <v>2</v>
      </c>
      <c r="I5">
        <v>5</v>
      </c>
      <c r="J5">
        <v>0</v>
      </c>
      <c r="K5">
        <v>0</v>
      </c>
    </row>
    <row r="6" spans="1:11" x14ac:dyDescent="0.25">
      <c r="A6" t="s">
        <v>0</v>
      </c>
      <c r="B6" t="s">
        <v>83</v>
      </c>
      <c r="C6" t="s">
        <v>68</v>
      </c>
      <c r="D6">
        <v>91.8</v>
      </c>
      <c r="E6">
        <v>126</v>
      </c>
      <c r="F6">
        <v>4027.8</v>
      </c>
      <c r="G6">
        <v>7140</v>
      </c>
      <c r="H6">
        <v>1</v>
      </c>
      <c r="I6">
        <v>1</v>
      </c>
      <c r="J6">
        <v>0</v>
      </c>
      <c r="K6">
        <v>0</v>
      </c>
    </row>
    <row r="7" spans="1:11" x14ac:dyDescent="0.25">
      <c r="A7" t="s">
        <v>0</v>
      </c>
      <c r="B7" t="s">
        <v>84</v>
      </c>
      <c r="C7" t="s">
        <v>68</v>
      </c>
      <c r="D7">
        <v>80.8</v>
      </c>
      <c r="E7">
        <v>120</v>
      </c>
      <c r="F7">
        <v>2952.2</v>
      </c>
      <c r="G7">
        <v>6441</v>
      </c>
      <c r="H7">
        <v>3.4</v>
      </c>
      <c r="I7">
        <v>6</v>
      </c>
      <c r="J7">
        <v>0</v>
      </c>
      <c r="K7">
        <v>0</v>
      </c>
    </row>
    <row r="8" spans="1:11" x14ac:dyDescent="0.25">
      <c r="A8" t="s">
        <v>3</v>
      </c>
      <c r="B8" t="s">
        <v>77</v>
      </c>
      <c r="C8" t="s">
        <v>68</v>
      </c>
      <c r="D8">
        <v>241.8</v>
      </c>
      <c r="E8">
        <v>735</v>
      </c>
      <c r="F8">
        <v>54101.2</v>
      </c>
      <c r="G8">
        <v>245350</v>
      </c>
      <c r="H8">
        <v>4</v>
      </c>
      <c r="I8">
        <v>7</v>
      </c>
      <c r="J8">
        <v>57.6</v>
      </c>
      <c r="K8">
        <v>288</v>
      </c>
    </row>
    <row r="9" spans="1:11" x14ac:dyDescent="0.25">
      <c r="A9" t="s">
        <v>3</v>
      </c>
      <c r="B9" t="s">
        <v>7</v>
      </c>
      <c r="C9" t="s">
        <v>68</v>
      </c>
      <c r="D9">
        <v>246</v>
      </c>
      <c r="E9">
        <v>738</v>
      </c>
      <c r="F9">
        <v>54945.4</v>
      </c>
      <c r="G9">
        <v>247456</v>
      </c>
      <c r="H9">
        <v>6.2</v>
      </c>
      <c r="I9">
        <v>10</v>
      </c>
      <c r="J9">
        <v>61.6</v>
      </c>
      <c r="K9">
        <v>308</v>
      </c>
    </row>
    <row r="10" spans="1:11" x14ac:dyDescent="0.25">
      <c r="A10" t="s">
        <v>3</v>
      </c>
      <c r="B10" t="s">
        <v>5</v>
      </c>
      <c r="C10" t="s">
        <v>68</v>
      </c>
      <c r="D10">
        <v>258.39999999999998</v>
      </c>
      <c r="E10">
        <v>737</v>
      </c>
      <c r="F10">
        <v>56492</v>
      </c>
      <c r="G10">
        <v>246753</v>
      </c>
      <c r="H10">
        <v>4.5999999999999996</v>
      </c>
      <c r="I10">
        <v>7</v>
      </c>
      <c r="J10">
        <v>60</v>
      </c>
      <c r="K10">
        <v>298</v>
      </c>
    </row>
    <row r="11" spans="1:11" x14ac:dyDescent="0.25">
      <c r="A11" t="s">
        <v>3</v>
      </c>
      <c r="B11" t="s">
        <v>8</v>
      </c>
      <c r="C11" t="s">
        <v>68</v>
      </c>
      <c r="D11">
        <v>280</v>
      </c>
      <c r="E11">
        <v>866</v>
      </c>
      <c r="F11">
        <v>74559.8</v>
      </c>
      <c r="G11">
        <v>339900</v>
      </c>
      <c r="H11">
        <v>5.6</v>
      </c>
      <c r="I11">
        <v>10</v>
      </c>
      <c r="J11">
        <v>106.6</v>
      </c>
      <c r="K11">
        <v>532</v>
      </c>
    </row>
    <row r="12" spans="1:11" x14ac:dyDescent="0.25">
      <c r="A12" t="s">
        <v>3</v>
      </c>
      <c r="B12" t="s">
        <v>9</v>
      </c>
      <c r="C12" t="s">
        <v>68</v>
      </c>
      <c r="D12">
        <v>232.8</v>
      </c>
      <c r="E12">
        <v>737</v>
      </c>
      <c r="F12">
        <v>53371.199999999997</v>
      </c>
      <c r="G12">
        <v>246753</v>
      </c>
      <c r="H12">
        <v>2.8</v>
      </c>
      <c r="I12">
        <v>7</v>
      </c>
      <c r="J12">
        <v>58.4</v>
      </c>
      <c r="K12">
        <v>292</v>
      </c>
    </row>
    <row r="13" spans="1:11" x14ac:dyDescent="0.25">
      <c r="A13" t="s">
        <v>3</v>
      </c>
      <c r="B13" t="s">
        <v>78</v>
      </c>
      <c r="C13" t="s">
        <v>68</v>
      </c>
      <c r="D13">
        <v>260.39999999999998</v>
      </c>
      <c r="E13">
        <v>701</v>
      </c>
      <c r="F13">
        <v>53106.2</v>
      </c>
      <c r="G13">
        <v>222778</v>
      </c>
      <c r="H13">
        <v>4.8</v>
      </c>
      <c r="I13">
        <v>10</v>
      </c>
      <c r="J13">
        <v>57.6</v>
      </c>
      <c r="K13">
        <v>286</v>
      </c>
    </row>
    <row r="14" spans="1:11" x14ac:dyDescent="0.25">
      <c r="A14" t="s">
        <v>4</v>
      </c>
      <c r="B14" t="s">
        <v>7</v>
      </c>
      <c r="C14" t="s">
        <v>68</v>
      </c>
      <c r="D14">
        <v>257.8</v>
      </c>
      <c r="E14">
        <v>265</v>
      </c>
      <c r="F14" s="3">
        <v>30394.2</v>
      </c>
      <c r="G14">
        <v>32131</v>
      </c>
      <c r="H14" s="3">
        <v>4.2</v>
      </c>
      <c r="I14">
        <v>7</v>
      </c>
      <c r="J14" s="3">
        <v>7</v>
      </c>
      <c r="K14">
        <v>25</v>
      </c>
    </row>
    <row r="15" spans="1:11" x14ac:dyDescent="0.25">
      <c r="A15" t="s">
        <v>0</v>
      </c>
      <c r="B15" t="s">
        <v>79</v>
      </c>
      <c r="C15" t="s">
        <v>69</v>
      </c>
      <c r="D15">
        <v>122.6</v>
      </c>
      <c r="E15">
        <v>138</v>
      </c>
      <c r="F15">
        <v>7073.2</v>
      </c>
      <c r="G15">
        <v>8646</v>
      </c>
      <c r="H15">
        <v>9.4</v>
      </c>
      <c r="I15">
        <v>10</v>
      </c>
      <c r="J15">
        <v>0.2</v>
      </c>
      <c r="K15">
        <v>1</v>
      </c>
    </row>
    <row r="16" spans="1:11" x14ac:dyDescent="0.25">
      <c r="A16" t="s">
        <v>0</v>
      </c>
      <c r="B16" t="s">
        <v>80</v>
      </c>
      <c r="C16" t="s">
        <v>69</v>
      </c>
      <c r="D16">
        <v>124.8</v>
      </c>
      <c r="E16">
        <v>144</v>
      </c>
      <c r="F16">
        <v>7267.6</v>
      </c>
      <c r="G16">
        <v>9453</v>
      </c>
      <c r="H16">
        <v>9.6</v>
      </c>
      <c r="I16">
        <v>10</v>
      </c>
      <c r="J16">
        <v>0</v>
      </c>
      <c r="K16">
        <v>0</v>
      </c>
    </row>
    <row r="17" spans="1:11" x14ac:dyDescent="0.25">
      <c r="A17" t="s">
        <v>0</v>
      </c>
      <c r="B17" t="s">
        <v>81</v>
      </c>
      <c r="C17" t="s">
        <v>69</v>
      </c>
      <c r="D17">
        <v>139</v>
      </c>
      <c r="E17">
        <v>144</v>
      </c>
      <c r="F17">
        <v>8789.2000000000007</v>
      </c>
      <c r="G17">
        <v>9453</v>
      </c>
      <c r="H17">
        <v>10</v>
      </c>
      <c r="I17">
        <v>10</v>
      </c>
      <c r="J17">
        <v>0</v>
      </c>
      <c r="K17">
        <v>0</v>
      </c>
    </row>
    <row r="18" spans="1:11" x14ac:dyDescent="0.25">
      <c r="A18" t="s">
        <v>0</v>
      </c>
      <c r="B18" t="s">
        <v>82</v>
      </c>
      <c r="C18" t="s">
        <v>69</v>
      </c>
      <c r="D18">
        <v>128</v>
      </c>
      <c r="E18">
        <v>144</v>
      </c>
      <c r="F18">
        <v>7532.2</v>
      </c>
      <c r="G18">
        <v>9453</v>
      </c>
      <c r="H18">
        <v>10</v>
      </c>
      <c r="I18">
        <v>10</v>
      </c>
      <c r="J18">
        <v>0</v>
      </c>
      <c r="K18">
        <v>0</v>
      </c>
    </row>
    <row r="19" spans="1:11" x14ac:dyDescent="0.25">
      <c r="A19" t="s">
        <v>0</v>
      </c>
      <c r="B19" t="s">
        <v>83</v>
      </c>
      <c r="C19" t="s">
        <v>69</v>
      </c>
      <c r="D19">
        <v>91.8</v>
      </c>
      <c r="E19">
        <v>126</v>
      </c>
      <c r="F19">
        <v>4027.8</v>
      </c>
      <c r="G19">
        <v>7140</v>
      </c>
      <c r="H19">
        <v>6.6</v>
      </c>
      <c r="I19">
        <v>10</v>
      </c>
      <c r="J19">
        <v>0</v>
      </c>
      <c r="K19">
        <v>0</v>
      </c>
    </row>
    <row r="20" spans="1:11" x14ac:dyDescent="0.25">
      <c r="A20" t="s">
        <v>0</v>
      </c>
      <c r="B20" t="s">
        <v>84</v>
      </c>
      <c r="C20" t="s">
        <v>69</v>
      </c>
      <c r="D20">
        <v>80.8</v>
      </c>
      <c r="E20">
        <v>120</v>
      </c>
      <c r="F20">
        <v>2952.2</v>
      </c>
      <c r="G20">
        <v>6441</v>
      </c>
      <c r="H20">
        <v>7.4</v>
      </c>
      <c r="I20">
        <v>9</v>
      </c>
      <c r="J20">
        <v>0</v>
      </c>
      <c r="K20">
        <v>0</v>
      </c>
    </row>
    <row r="21" spans="1:11" x14ac:dyDescent="0.25">
      <c r="A21" t="s">
        <v>3</v>
      </c>
      <c r="B21" t="s">
        <v>77</v>
      </c>
      <c r="C21" t="s">
        <v>69</v>
      </c>
      <c r="D21">
        <v>241.8</v>
      </c>
      <c r="E21">
        <v>735</v>
      </c>
      <c r="F21">
        <v>54101.2</v>
      </c>
      <c r="G21">
        <v>245350</v>
      </c>
      <c r="H21">
        <v>10</v>
      </c>
      <c r="I21">
        <v>10</v>
      </c>
      <c r="J21">
        <v>58.4</v>
      </c>
      <c r="K21">
        <v>292</v>
      </c>
    </row>
    <row r="22" spans="1:11" x14ac:dyDescent="0.25">
      <c r="A22" t="s">
        <v>3</v>
      </c>
      <c r="B22" t="s">
        <v>7</v>
      </c>
      <c r="C22" t="s">
        <v>69</v>
      </c>
      <c r="D22">
        <v>246</v>
      </c>
      <c r="E22">
        <v>738</v>
      </c>
      <c r="F22">
        <v>54945.4</v>
      </c>
      <c r="G22">
        <v>247456</v>
      </c>
      <c r="H22">
        <v>10</v>
      </c>
      <c r="I22">
        <v>10</v>
      </c>
      <c r="J22">
        <v>65.2</v>
      </c>
      <c r="K22">
        <v>325</v>
      </c>
    </row>
    <row r="23" spans="1:11" x14ac:dyDescent="0.25">
      <c r="A23" t="s">
        <v>3</v>
      </c>
      <c r="B23" t="s">
        <v>5</v>
      </c>
      <c r="C23" t="s">
        <v>69</v>
      </c>
      <c r="D23">
        <v>258.39999999999998</v>
      </c>
      <c r="E23">
        <v>737</v>
      </c>
      <c r="F23">
        <v>56492</v>
      </c>
      <c r="G23">
        <v>246753</v>
      </c>
      <c r="H23">
        <v>8.8000000000000007</v>
      </c>
      <c r="I23">
        <v>10</v>
      </c>
      <c r="J23">
        <v>62.4</v>
      </c>
      <c r="K23">
        <v>310</v>
      </c>
    </row>
    <row r="24" spans="1:11" x14ac:dyDescent="0.25">
      <c r="A24" t="s">
        <v>3</v>
      </c>
      <c r="B24" t="s">
        <v>8</v>
      </c>
      <c r="C24" t="s">
        <v>69</v>
      </c>
      <c r="D24">
        <v>280</v>
      </c>
      <c r="E24">
        <v>866</v>
      </c>
      <c r="F24">
        <v>74559.8</v>
      </c>
      <c r="G24">
        <v>339900</v>
      </c>
      <c r="H24">
        <v>10</v>
      </c>
      <c r="I24">
        <v>10</v>
      </c>
      <c r="J24">
        <v>105.8</v>
      </c>
      <c r="K24">
        <v>528</v>
      </c>
    </row>
    <row r="25" spans="1:11" x14ac:dyDescent="0.25">
      <c r="A25" t="s">
        <v>3</v>
      </c>
      <c r="B25" t="s">
        <v>9</v>
      </c>
      <c r="C25" t="s">
        <v>69</v>
      </c>
      <c r="D25">
        <v>232.8</v>
      </c>
      <c r="E25">
        <v>737</v>
      </c>
      <c r="F25">
        <v>53371.199999999997</v>
      </c>
      <c r="G25">
        <v>246753</v>
      </c>
      <c r="H25">
        <v>10</v>
      </c>
      <c r="I25">
        <v>10</v>
      </c>
      <c r="J25">
        <v>60.4</v>
      </c>
      <c r="K25">
        <v>302</v>
      </c>
    </row>
    <row r="26" spans="1:11" x14ac:dyDescent="0.25">
      <c r="A26" t="s">
        <v>3</v>
      </c>
      <c r="B26" t="s">
        <v>78</v>
      </c>
      <c r="C26" t="s">
        <v>69</v>
      </c>
      <c r="D26">
        <v>260.39999999999998</v>
      </c>
      <c r="E26">
        <v>701</v>
      </c>
      <c r="F26">
        <v>53106.2</v>
      </c>
      <c r="G26">
        <v>222778</v>
      </c>
      <c r="H26">
        <v>10</v>
      </c>
      <c r="I26">
        <v>10</v>
      </c>
      <c r="J26">
        <v>57.8</v>
      </c>
      <c r="K26">
        <v>285</v>
      </c>
    </row>
    <row r="27" spans="1:11" x14ac:dyDescent="0.25">
      <c r="A27" t="s">
        <v>4</v>
      </c>
      <c r="B27" t="s">
        <v>7</v>
      </c>
      <c r="C27" t="s">
        <v>69</v>
      </c>
      <c r="D27">
        <v>257.8</v>
      </c>
      <c r="E27">
        <v>265</v>
      </c>
      <c r="F27" s="3">
        <v>30394.2</v>
      </c>
      <c r="G27">
        <v>32131</v>
      </c>
      <c r="H27" s="3">
        <v>10</v>
      </c>
      <c r="I27">
        <v>10</v>
      </c>
      <c r="J27" s="3">
        <v>5.9</v>
      </c>
      <c r="K27">
        <v>7</v>
      </c>
    </row>
    <row r="1048576" spans="1:1" x14ac:dyDescent="0.25">
      <c r="A1048576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table</vt:lpstr>
    </vt:vector>
  </TitlesOfParts>
  <Company>Alma Mater Studiorum - Università di Bologna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2026-02-25T16:03:51Z</dcterms:created>
  <dcterms:modified xsi:type="dcterms:W3CDTF">2026-03-13T08:01:44Z</dcterms:modified>
</cp:coreProperties>
</file>