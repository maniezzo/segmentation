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egmentation\data\"/>
    </mc:Choice>
  </mc:AlternateContent>
  <xr:revisionPtr revIDLastSave="0" documentId="13_ncr:1_{C6AABDDB-A7E9-4A93-A1C3-55BEE17A3C8C}" xr6:coauthVersionLast="47" xr6:coauthVersionMax="47" xr10:uidLastSave="{00000000-0000-0000-0000-000000000000}"/>
  <bookViews>
    <workbookView xWindow="1950" yWindow="255" windowWidth="23250" windowHeight="15225" xr2:uid="{7E3558C8-CB49-46FB-8C25-B70FF8305F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</calcChain>
</file>

<file path=xl/sharedStrings.xml><?xml version="1.0" encoding="utf-8"?>
<sst xmlns="http://schemas.openxmlformats.org/spreadsheetml/2006/main" count="581" uniqueCount="100">
  <si>
    <t>benchmark</t>
  </si>
  <si>
    <t>category</t>
  </si>
  <si>
    <t>cost</t>
  </si>
  <si>
    <t>series_id</t>
  </si>
  <si>
    <t>npoints</t>
  </si>
  <si>
    <t>nruns</t>
  </si>
  <si>
    <t>nsegm</t>
  </si>
  <si>
    <t>total_cost</t>
  </si>
  <si>
    <t>time_sec</t>
  </si>
  <si>
    <t>M3</t>
  </si>
  <si>
    <t xml:space="preserve">DEMOGRAPHIC </t>
  </si>
  <si>
    <t>AIC</t>
  </si>
  <si>
    <t>N2745</t>
  </si>
  <si>
    <t>QRMSE</t>
  </si>
  <si>
    <t>N2677</t>
  </si>
  <si>
    <t>N2671</t>
  </si>
  <si>
    <t>N2751</t>
  </si>
  <si>
    <t>N2774</t>
  </si>
  <si>
    <t xml:space="preserve">FINANCE     </t>
  </si>
  <si>
    <t>N2852</t>
  </si>
  <si>
    <t>N2564</t>
  </si>
  <si>
    <t>N2613</t>
  </si>
  <si>
    <t>N2582</t>
  </si>
  <si>
    <t>N2602</t>
  </si>
  <si>
    <t xml:space="preserve">INDUSTRY    </t>
  </si>
  <si>
    <t>N1901</t>
  </si>
  <si>
    <t>N2186</t>
  </si>
  <si>
    <t>N1950</t>
  </si>
  <si>
    <t>N2072</t>
  </si>
  <si>
    <t>N1907</t>
  </si>
  <si>
    <t xml:space="preserve">MACRO       </t>
  </si>
  <si>
    <t>N2501</t>
  </si>
  <si>
    <t>N2219</t>
  </si>
  <si>
    <t>N2267</t>
  </si>
  <si>
    <t>N2270</t>
  </si>
  <si>
    <t>N2478</t>
  </si>
  <si>
    <t xml:space="preserve">MICRO       </t>
  </si>
  <si>
    <t>N1871</t>
  </si>
  <si>
    <t>N1435</t>
  </si>
  <si>
    <t>N1533</t>
  </si>
  <si>
    <t>N1474</t>
  </si>
  <si>
    <t>N1819</t>
  </si>
  <si>
    <t xml:space="preserve">OTHER       </t>
  </si>
  <si>
    <t>N2824</t>
  </si>
  <si>
    <t>N2948</t>
  </si>
  <si>
    <t>N2888</t>
  </si>
  <si>
    <t>N2955</t>
  </si>
  <si>
    <t>N2783</t>
  </si>
  <si>
    <t>M4</t>
  </si>
  <si>
    <t>Demographic</t>
  </si>
  <si>
    <t>Q11846</t>
  </si>
  <si>
    <t>Q11974</t>
  </si>
  <si>
    <t>Q12170</t>
  </si>
  <si>
    <t>Q12673</t>
  </si>
  <si>
    <t>Q13050</t>
  </si>
  <si>
    <t>Finance</t>
  </si>
  <si>
    <t>Q18638</t>
  </si>
  <si>
    <t>Q20501</t>
  </si>
  <si>
    <t>Q19518</t>
  </si>
  <si>
    <t>Q18530</t>
  </si>
  <si>
    <t>Q22221</t>
  </si>
  <si>
    <t>Industry</t>
  </si>
  <si>
    <t>Q15208</t>
  </si>
  <si>
    <t>Q16120</t>
  </si>
  <si>
    <t>Q16176</t>
  </si>
  <si>
    <t>Q14989</t>
  </si>
  <si>
    <t>Q15697</t>
  </si>
  <si>
    <t>Macro</t>
  </si>
  <si>
    <t>Q1988</t>
  </si>
  <si>
    <t>Q3770</t>
  </si>
  <si>
    <t>Q4038</t>
  </si>
  <si>
    <t>Q3957</t>
  </si>
  <si>
    <t>Q5109</t>
  </si>
  <si>
    <t>Micro</t>
  </si>
  <si>
    <t>Q11298</t>
  </si>
  <si>
    <t>Q9597</t>
  </si>
  <si>
    <t>Q9516</t>
  </si>
  <si>
    <t>Q9551</t>
  </si>
  <si>
    <t>Q10414</t>
  </si>
  <si>
    <t>Other</t>
  </si>
  <si>
    <t>Q23416</t>
  </si>
  <si>
    <t>Q23410</t>
  </si>
  <si>
    <t>Q23524</t>
  </si>
  <si>
    <t>Q23487</t>
  </si>
  <si>
    <t>Q23661</t>
  </si>
  <si>
    <t>M6</t>
  </si>
  <si>
    <t>ABBV</t>
  </si>
  <si>
    <t>COP</t>
  </si>
  <si>
    <t>EWG</t>
  </si>
  <si>
    <t>EWQ</t>
  </si>
  <si>
    <t>EWZ</t>
  </si>
  <si>
    <t>HST</t>
  </si>
  <si>
    <t>PYPL</t>
  </si>
  <si>
    <t>ROST</t>
  </si>
  <si>
    <t>SLV</t>
  </si>
  <si>
    <t>VXX</t>
  </si>
  <si>
    <t>Dynp</t>
  </si>
  <si>
    <t>PELT</t>
  </si>
  <si>
    <t>WBS</t>
  </si>
  <si>
    <t>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</si>
</sst>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3FC8-390D-4018-9A07-1C7FE899F7FD}">
  <dimension ref="A1:T142"/>
  <sheetViews>
    <sheetView tabSelected="1" workbookViewId="0">
      <selection activeCell="T20" sqref="T20"/>
    </sheetView>
  </sheetViews>
  <sheetFormatPr defaultRowHeight="15" x14ac:dyDescent="0.25"/>
  <cols>
    <col min="5" max="5" width="9.140625" style="2"/>
    <col min="6" max="6" width="9.140625" style="1"/>
    <col min="10" max="10" width="9.140625" style="1"/>
  </cols>
  <sheetData>
    <row r="1" spans="1:20" x14ac:dyDescent="0.25">
      <c r="F1" s="1" t="s">
        <v>96</v>
      </c>
      <c r="G1" s="1"/>
      <c r="J1" s="1" t="s">
        <v>97</v>
      </c>
      <c r="N1" s="1" t="s">
        <v>98</v>
      </c>
      <c r="S1" s="1"/>
    </row>
    <row r="2" spans="1:20" x14ac:dyDescent="0.25">
      <c r="A2" t="s">
        <v>0</v>
      </c>
      <c r="B2" t="s">
        <v>1</v>
      </c>
      <c r="C2" t="s">
        <v>2</v>
      </c>
      <c r="D2" t="s">
        <v>3</v>
      </c>
      <c r="E2" s="2" t="s">
        <v>4</v>
      </c>
      <c r="F2" s="1" t="s">
        <v>5</v>
      </c>
      <c r="G2" t="s">
        <v>6</v>
      </c>
      <c r="H2" t="s">
        <v>7</v>
      </c>
      <c r="I2" t="s">
        <v>8</v>
      </c>
      <c r="J2" s="1" t="s">
        <v>5</v>
      </c>
      <c r="K2" t="s">
        <v>6</v>
      </c>
      <c r="L2" t="s">
        <v>7</v>
      </c>
      <c r="M2" t="s">
        <v>8</v>
      </c>
      <c r="N2" s="1" t="s">
        <v>5</v>
      </c>
      <c r="O2" t="s">
        <v>6</v>
      </c>
      <c r="P2" t="s">
        <v>7</v>
      </c>
      <c r="Q2" t="s">
        <v>8</v>
      </c>
      <c r="R2" t="s">
        <v>99</v>
      </c>
      <c r="S2" s="1"/>
    </row>
    <row r="3" spans="1:20" x14ac:dyDescent="0.25">
      <c r="A3" t="s">
        <v>9</v>
      </c>
      <c r="B3" t="s">
        <v>10</v>
      </c>
      <c r="C3" t="s">
        <v>11</v>
      </c>
      <c r="D3" t="s">
        <v>12</v>
      </c>
      <c r="E3" s="2">
        <v>134</v>
      </c>
      <c r="F3" s="1">
        <v>4534</v>
      </c>
      <c r="G3">
        <v>10</v>
      </c>
      <c r="H3">
        <v>1501.1341522299799</v>
      </c>
      <c r="I3">
        <v>2.0723417001136099E-2</v>
      </c>
      <c r="J3" s="1">
        <v>4485</v>
      </c>
      <c r="K3">
        <v>2</v>
      </c>
      <c r="L3">
        <v>1649.31752903027</v>
      </c>
      <c r="M3">
        <v>1.00887919998058E-2</v>
      </c>
      <c r="N3" s="1">
        <v>400</v>
      </c>
      <c r="O3">
        <v>10</v>
      </c>
      <c r="P3">
        <v>1528.05676177343</v>
      </c>
      <c r="Q3">
        <v>0.27298408299975502</v>
      </c>
      <c r="R3">
        <f>IF(O3=G3,(P3-H3)/H3,NA())</f>
        <v>1.7934845798728755E-2</v>
      </c>
      <c r="S3" s="1"/>
      <c r="T3">
        <f t="shared" ref="T3:T66" si="0">IF(G3=K3,1,0)</f>
        <v>0</v>
      </c>
    </row>
    <row r="4" spans="1:20" x14ac:dyDescent="0.25">
      <c r="A4" t="s">
        <v>9</v>
      </c>
      <c r="B4" t="s">
        <v>10</v>
      </c>
      <c r="C4" t="s">
        <v>13</v>
      </c>
      <c r="D4" t="s">
        <v>12</v>
      </c>
      <c r="E4" s="2">
        <v>134</v>
      </c>
      <c r="F4" s="1">
        <v>4534</v>
      </c>
      <c r="G4">
        <v>10</v>
      </c>
      <c r="H4">
        <v>705.13368488428796</v>
      </c>
      <c r="I4">
        <v>4.7328750000815399E-2</v>
      </c>
      <c r="J4" s="1">
        <v>246</v>
      </c>
      <c r="K4">
        <v>0</v>
      </c>
      <c r="L4">
        <v>176.03829513752601</v>
      </c>
      <c r="M4">
        <v>7.4049999966509998E-4</v>
      </c>
      <c r="N4" s="1">
        <v>400</v>
      </c>
      <c r="O4">
        <v>3</v>
      </c>
      <c r="P4">
        <v>349.06519600649898</v>
      </c>
      <c r="Q4">
        <v>0.16677724999999499</v>
      </c>
      <c r="R4" t="e">
        <f t="shared" ref="R4:R67" si="1">IF(O4=G4,(P4-H4)/H4,NA())</f>
        <v>#N/A</v>
      </c>
      <c r="S4" s="1"/>
      <c r="T4">
        <f t="shared" si="0"/>
        <v>0</v>
      </c>
    </row>
    <row r="5" spans="1:20" x14ac:dyDescent="0.25">
      <c r="A5" t="s">
        <v>9</v>
      </c>
      <c r="B5" t="s">
        <v>10</v>
      </c>
      <c r="C5" t="s">
        <v>11</v>
      </c>
      <c r="D5" t="s">
        <v>14</v>
      </c>
      <c r="E5" s="2">
        <v>135</v>
      </c>
      <c r="F5" s="1">
        <v>4648</v>
      </c>
      <c r="G5">
        <v>10</v>
      </c>
      <c r="H5">
        <v>487.94223846170701</v>
      </c>
      <c r="I5">
        <v>2.2845334000521599E-2</v>
      </c>
      <c r="J5" s="1">
        <v>2646</v>
      </c>
      <c r="K5">
        <v>6</v>
      </c>
      <c r="L5">
        <v>543.24317690561304</v>
      </c>
      <c r="M5">
        <v>6.1009999990346E-3</v>
      </c>
      <c r="N5" s="1">
        <v>400</v>
      </c>
      <c r="O5">
        <v>11</v>
      </c>
      <c r="P5">
        <v>517.26024044328005</v>
      </c>
      <c r="Q5">
        <v>0.235789332999956</v>
      </c>
      <c r="R5" t="e">
        <f t="shared" si="1"/>
        <v>#N/A</v>
      </c>
      <c r="S5" s="1"/>
      <c r="T5">
        <f t="shared" si="0"/>
        <v>0</v>
      </c>
    </row>
    <row r="6" spans="1:20" x14ac:dyDescent="0.25">
      <c r="A6" t="s">
        <v>9</v>
      </c>
      <c r="B6" t="s">
        <v>10</v>
      </c>
      <c r="C6" t="s">
        <v>13</v>
      </c>
      <c r="D6" t="s">
        <v>14</v>
      </c>
      <c r="E6" s="2">
        <v>135</v>
      </c>
      <c r="F6" s="1">
        <v>4648</v>
      </c>
      <c r="G6">
        <v>10</v>
      </c>
      <c r="H6">
        <v>13.141456302652699</v>
      </c>
      <c r="I6">
        <v>2.3687082999458601E-2</v>
      </c>
      <c r="J6" s="1">
        <v>262</v>
      </c>
      <c r="K6">
        <v>5</v>
      </c>
      <c r="L6">
        <v>11.0592164106518</v>
      </c>
      <c r="M6">
        <v>8.0366700058219997E-4</v>
      </c>
      <c r="N6" s="1">
        <v>400</v>
      </c>
      <c r="O6">
        <v>1</v>
      </c>
      <c r="P6">
        <v>8.0276827392361803</v>
      </c>
      <c r="Q6">
        <v>6.3984458000049899E-2</v>
      </c>
      <c r="R6" t="e">
        <f t="shared" si="1"/>
        <v>#N/A</v>
      </c>
      <c r="S6" s="1"/>
      <c r="T6">
        <f t="shared" si="0"/>
        <v>0</v>
      </c>
    </row>
    <row r="7" spans="1:20" x14ac:dyDescent="0.25">
      <c r="A7" t="s">
        <v>9</v>
      </c>
      <c r="B7" t="s">
        <v>10</v>
      </c>
      <c r="C7" t="s">
        <v>11</v>
      </c>
      <c r="D7" t="s">
        <v>15</v>
      </c>
      <c r="E7" s="2">
        <v>135</v>
      </c>
      <c r="F7" s="1">
        <v>4648</v>
      </c>
      <c r="G7">
        <v>10</v>
      </c>
      <c r="H7">
        <v>1395.3675476954299</v>
      </c>
      <c r="I7">
        <v>2.21874170001683E-2</v>
      </c>
      <c r="J7" s="1">
        <v>4217</v>
      </c>
      <c r="K7">
        <v>2</v>
      </c>
      <c r="L7">
        <v>1511.32616394252</v>
      </c>
      <c r="M7">
        <v>9.5327500002895006E-3</v>
      </c>
      <c r="N7" s="1">
        <v>400</v>
      </c>
      <c r="O7">
        <v>6</v>
      </c>
      <c r="P7">
        <v>1454.69206297967</v>
      </c>
      <c r="Q7">
        <v>0.26677937500016902</v>
      </c>
      <c r="R7" t="e">
        <f t="shared" si="1"/>
        <v>#N/A</v>
      </c>
      <c r="S7" s="1"/>
      <c r="T7">
        <f t="shared" si="0"/>
        <v>0</v>
      </c>
    </row>
    <row r="8" spans="1:20" x14ac:dyDescent="0.25">
      <c r="A8" t="s">
        <v>9</v>
      </c>
      <c r="B8" t="s">
        <v>10</v>
      </c>
      <c r="C8" t="s">
        <v>13</v>
      </c>
      <c r="D8" t="s">
        <v>15</v>
      </c>
      <c r="E8" s="2">
        <v>135</v>
      </c>
      <c r="F8" s="1">
        <v>4648</v>
      </c>
      <c r="G8">
        <v>10</v>
      </c>
      <c r="H8">
        <v>390.52896885359701</v>
      </c>
      <c r="I8">
        <v>2.4792166999759498E-2</v>
      </c>
      <c r="J8" s="1">
        <v>248</v>
      </c>
      <c r="K8">
        <v>0</v>
      </c>
      <c r="L8">
        <v>55.742676689361097</v>
      </c>
      <c r="M8">
        <v>7.6970800000699996E-4</v>
      </c>
      <c r="N8" s="1">
        <v>400</v>
      </c>
      <c r="O8">
        <v>1</v>
      </c>
      <c r="P8">
        <v>55.742676689360799</v>
      </c>
      <c r="Q8">
        <v>6.2383167000007199E-2</v>
      </c>
      <c r="R8" t="e">
        <f t="shared" si="1"/>
        <v>#N/A</v>
      </c>
      <c r="S8" s="1"/>
      <c r="T8">
        <f t="shared" si="0"/>
        <v>0</v>
      </c>
    </row>
    <row r="9" spans="1:20" x14ac:dyDescent="0.25">
      <c r="A9" t="s">
        <v>9</v>
      </c>
      <c r="B9" t="s">
        <v>10</v>
      </c>
      <c r="C9" t="s">
        <v>11</v>
      </c>
      <c r="D9" t="s">
        <v>16</v>
      </c>
      <c r="E9" s="2">
        <v>71</v>
      </c>
      <c r="F9" s="1">
        <v>232</v>
      </c>
      <c r="G9">
        <v>8</v>
      </c>
      <c r="H9">
        <v>918.02557255422096</v>
      </c>
      <c r="I9">
        <v>9.0537500000199996E-4</v>
      </c>
      <c r="J9" s="1">
        <v>1181</v>
      </c>
      <c r="K9">
        <v>0</v>
      </c>
      <c r="L9">
        <v>992.13092420200098</v>
      </c>
      <c r="M9">
        <v>2.6804999997693001E-3</v>
      </c>
      <c r="N9" s="1">
        <v>400</v>
      </c>
      <c r="O9">
        <v>3</v>
      </c>
      <c r="P9">
        <v>954.95621745246206</v>
      </c>
      <c r="Q9">
        <v>7.3558666000280895E-2</v>
      </c>
      <c r="R9" t="e">
        <f t="shared" si="1"/>
        <v>#N/A</v>
      </c>
      <c r="S9" s="1"/>
      <c r="T9">
        <f t="shared" si="0"/>
        <v>0</v>
      </c>
    </row>
    <row r="10" spans="1:20" x14ac:dyDescent="0.25">
      <c r="A10" t="s">
        <v>9</v>
      </c>
      <c r="B10" t="s">
        <v>10</v>
      </c>
      <c r="C10" t="s">
        <v>13</v>
      </c>
      <c r="D10" t="s">
        <v>16</v>
      </c>
      <c r="E10" s="2">
        <v>71</v>
      </c>
      <c r="F10" s="1">
        <v>232</v>
      </c>
      <c r="G10">
        <v>8</v>
      </c>
      <c r="H10">
        <v>1389.36164363227</v>
      </c>
      <c r="I10">
        <v>1.0682080010154999E-3</v>
      </c>
      <c r="J10" s="1">
        <v>120</v>
      </c>
      <c r="K10">
        <v>0</v>
      </c>
      <c r="L10">
        <v>124.876911202325</v>
      </c>
      <c r="M10">
        <v>3.7237499964240002E-4</v>
      </c>
      <c r="N10" s="1">
        <v>400</v>
      </c>
      <c r="O10">
        <v>1</v>
      </c>
      <c r="P10">
        <v>124.876911202325</v>
      </c>
      <c r="Q10">
        <v>3.2044333000158E-2</v>
      </c>
      <c r="R10" t="e">
        <f t="shared" si="1"/>
        <v>#N/A</v>
      </c>
      <c r="S10" s="1"/>
      <c r="T10">
        <f t="shared" si="0"/>
        <v>0</v>
      </c>
    </row>
    <row r="11" spans="1:20" x14ac:dyDescent="0.25">
      <c r="A11" t="s">
        <v>9</v>
      </c>
      <c r="B11" t="s">
        <v>10</v>
      </c>
      <c r="C11" t="s">
        <v>11</v>
      </c>
      <c r="D11" t="s">
        <v>17</v>
      </c>
      <c r="E11" s="2">
        <v>138</v>
      </c>
      <c r="F11" s="1">
        <v>4996</v>
      </c>
      <c r="G11">
        <v>10</v>
      </c>
      <c r="H11">
        <v>602.80629062495404</v>
      </c>
      <c r="I11">
        <v>2.3292874999242399E-2</v>
      </c>
      <c r="J11" s="1">
        <v>3426</v>
      </c>
      <c r="K11">
        <v>4</v>
      </c>
      <c r="L11">
        <v>690.94973740272997</v>
      </c>
      <c r="M11">
        <v>7.8362910007854E-3</v>
      </c>
      <c r="N11" s="1">
        <v>400</v>
      </c>
      <c r="O11">
        <v>10</v>
      </c>
      <c r="P11">
        <v>607.63310677229504</v>
      </c>
      <c r="Q11">
        <v>0.264848124999844</v>
      </c>
      <c r="R11">
        <f t="shared" si="1"/>
        <v>8.0072424963197261E-3</v>
      </c>
      <c r="S11" s="1"/>
      <c r="T11">
        <f t="shared" si="0"/>
        <v>0</v>
      </c>
    </row>
    <row r="12" spans="1:20" x14ac:dyDescent="0.25">
      <c r="A12" t="s">
        <v>9</v>
      </c>
      <c r="B12" t="s">
        <v>10</v>
      </c>
      <c r="C12" t="s">
        <v>13</v>
      </c>
      <c r="D12" t="s">
        <v>17</v>
      </c>
      <c r="E12" s="2">
        <v>138</v>
      </c>
      <c r="F12" s="1">
        <v>4996</v>
      </c>
      <c r="G12">
        <v>10</v>
      </c>
      <c r="H12">
        <v>20.548922353263499</v>
      </c>
      <c r="I12">
        <v>2.6259874999595902E-2</v>
      </c>
      <c r="J12" s="1">
        <v>254</v>
      </c>
      <c r="K12">
        <v>1</v>
      </c>
      <c r="L12">
        <v>7.7667477322999297</v>
      </c>
      <c r="M12">
        <v>7.5350000042809998E-4</v>
      </c>
      <c r="N12" s="1">
        <v>400</v>
      </c>
      <c r="O12">
        <v>1</v>
      </c>
      <c r="P12">
        <v>5.6642866408381698</v>
      </c>
      <c r="Q12">
        <v>6.3844041000265805E-2</v>
      </c>
      <c r="R12" t="e">
        <f t="shared" si="1"/>
        <v>#N/A</v>
      </c>
      <c r="S12" s="1"/>
      <c r="T12">
        <f t="shared" si="0"/>
        <v>0</v>
      </c>
    </row>
    <row r="13" spans="1:20" x14ac:dyDescent="0.25">
      <c r="A13" t="s">
        <v>9</v>
      </c>
      <c r="B13" t="s">
        <v>18</v>
      </c>
      <c r="C13" t="s">
        <v>11</v>
      </c>
      <c r="D13" t="s">
        <v>19</v>
      </c>
      <c r="E13" s="2">
        <v>79</v>
      </c>
      <c r="F13" s="1">
        <v>268</v>
      </c>
      <c r="G13">
        <v>9</v>
      </c>
      <c r="H13">
        <v>711.06543522588197</v>
      </c>
      <c r="I13">
        <v>1.1426670007494001E-3</v>
      </c>
      <c r="J13" s="1">
        <v>2015</v>
      </c>
      <c r="K13">
        <v>0</v>
      </c>
      <c r="L13">
        <v>878.61342647987306</v>
      </c>
      <c r="M13">
        <v>4.503084001044E-3</v>
      </c>
      <c r="N13" s="1">
        <v>400</v>
      </c>
      <c r="O13">
        <v>7</v>
      </c>
      <c r="P13">
        <v>719.26289168688402</v>
      </c>
      <c r="Q13">
        <v>0.115329416999884</v>
      </c>
      <c r="R13" t="e">
        <f t="shared" si="1"/>
        <v>#N/A</v>
      </c>
      <c r="S13" s="1"/>
      <c r="T13">
        <f t="shared" si="0"/>
        <v>0</v>
      </c>
    </row>
    <row r="14" spans="1:20" x14ac:dyDescent="0.25">
      <c r="A14" t="s">
        <v>9</v>
      </c>
      <c r="B14" t="s">
        <v>18</v>
      </c>
      <c r="C14" t="s">
        <v>13</v>
      </c>
      <c r="D14" t="s">
        <v>19</v>
      </c>
      <c r="E14" s="2">
        <v>79</v>
      </c>
      <c r="F14" s="1">
        <v>268</v>
      </c>
      <c r="G14">
        <v>9</v>
      </c>
      <c r="H14">
        <v>225.45411696258199</v>
      </c>
      <c r="I14">
        <v>1.2145410000812E-3</v>
      </c>
      <c r="J14" s="1">
        <v>136</v>
      </c>
      <c r="K14">
        <v>0</v>
      </c>
      <c r="L14">
        <v>28.5256616083573</v>
      </c>
      <c r="M14">
        <v>4.2691699854910002E-4</v>
      </c>
      <c r="N14" s="1">
        <v>400</v>
      </c>
      <c r="O14">
        <v>1</v>
      </c>
      <c r="P14">
        <v>28.525661608356199</v>
      </c>
      <c r="Q14">
        <v>3.5627416999886898E-2</v>
      </c>
      <c r="R14" t="e">
        <f t="shared" si="1"/>
        <v>#N/A</v>
      </c>
      <c r="S14" s="1"/>
      <c r="T14">
        <f t="shared" si="0"/>
        <v>0</v>
      </c>
    </row>
    <row r="15" spans="1:20" x14ac:dyDescent="0.25">
      <c r="A15" t="s">
        <v>9</v>
      </c>
      <c r="B15" t="s">
        <v>18</v>
      </c>
      <c r="C15" t="s">
        <v>11</v>
      </c>
      <c r="D15" t="s">
        <v>20</v>
      </c>
      <c r="E15" s="2">
        <v>133</v>
      </c>
      <c r="F15" s="1">
        <v>4421</v>
      </c>
      <c r="G15">
        <v>10</v>
      </c>
      <c r="H15">
        <v>703.73073976309502</v>
      </c>
      <c r="I15">
        <v>2.0642125000449499E-2</v>
      </c>
      <c r="J15" s="1">
        <v>1950</v>
      </c>
      <c r="K15">
        <v>8</v>
      </c>
      <c r="L15">
        <v>721.74215185574405</v>
      </c>
      <c r="M15">
        <v>4.4752079993485997E-3</v>
      </c>
      <c r="N15" s="1">
        <v>400</v>
      </c>
      <c r="O15">
        <v>11</v>
      </c>
      <c r="P15">
        <v>698.85870064003404</v>
      </c>
      <c r="Q15">
        <v>0.23854741699960799</v>
      </c>
      <c r="R15" t="e">
        <f t="shared" si="1"/>
        <v>#N/A</v>
      </c>
      <c r="S15" s="1"/>
      <c r="T15">
        <f t="shared" si="0"/>
        <v>0</v>
      </c>
    </row>
    <row r="16" spans="1:20" x14ac:dyDescent="0.25">
      <c r="A16" t="s">
        <v>9</v>
      </c>
      <c r="B16" t="s">
        <v>18</v>
      </c>
      <c r="C16" t="s">
        <v>13</v>
      </c>
      <c r="D16" t="s">
        <v>20</v>
      </c>
      <c r="E16" s="2">
        <v>133</v>
      </c>
      <c r="F16" s="1">
        <v>4421</v>
      </c>
      <c r="G16">
        <v>10</v>
      </c>
      <c r="H16">
        <v>34.689657014435099</v>
      </c>
      <c r="I16">
        <v>2.33290420001139E-2</v>
      </c>
      <c r="J16" s="1">
        <v>244</v>
      </c>
      <c r="K16">
        <v>7</v>
      </c>
      <c r="L16">
        <v>32.045345884309199</v>
      </c>
      <c r="M16">
        <v>7.5362499956090003E-4</v>
      </c>
      <c r="N16" s="1">
        <v>400</v>
      </c>
      <c r="O16">
        <v>2</v>
      </c>
      <c r="P16">
        <v>31.0074467978569</v>
      </c>
      <c r="Q16">
        <v>0.11277620800001301</v>
      </c>
      <c r="R16" t="e">
        <f t="shared" si="1"/>
        <v>#N/A</v>
      </c>
      <c r="S16" s="1"/>
      <c r="T16">
        <f t="shared" si="0"/>
        <v>0</v>
      </c>
    </row>
    <row r="17" spans="1:20" x14ac:dyDescent="0.25">
      <c r="A17" t="s">
        <v>9</v>
      </c>
      <c r="B17" t="s">
        <v>18</v>
      </c>
      <c r="C17" t="s">
        <v>11</v>
      </c>
      <c r="D17" t="s">
        <v>21</v>
      </c>
      <c r="E17" s="2">
        <v>134</v>
      </c>
      <c r="F17" s="1">
        <v>4534</v>
      </c>
      <c r="G17">
        <v>10</v>
      </c>
      <c r="H17">
        <v>1174.96873752942</v>
      </c>
      <c r="I17">
        <v>2.25255419991299E-2</v>
      </c>
      <c r="J17" s="1">
        <v>3893</v>
      </c>
      <c r="K17">
        <v>2</v>
      </c>
      <c r="L17">
        <v>1388.1447966866599</v>
      </c>
      <c r="M17">
        <v>9.1152080003666005E-3</v>
      </c>
      <c r="N17" s="1">
        <v>400</v>
      </c>
      <c r="O17">
        <v>10</v>
      </c>
      <c r="P17">
        <v>1208.46651289887</v>
      </c>
      <c r="Q17">
        <v>0.24814691700021199</v>
      </c>
      <c r="R17">
        <f t="shared" si="1"/>
        <v>2.8509503529332188E-2</v>
      </c>
      <c r="S17" s="1"/>
      <c r="T17">
        <f t="shared" si="0"/>
        <v>0</v>
      </c>
    </row>
    <row r="18" spans="1:20" x14ac:dyDescent="0.25">
      <c r="A18" t="s">
        <v>9</v>
      </c>
      <c r="B18" t="s">
        <v>18</v>
      </c>
      <c r="C18" t="s">
        <v>13</v>
      </c>
      <c r="D18" t="s">
        <v>21</v>
      </c>
      <c r="E18" s="2">
        <v>134</v>
      </c>
      <c r="F18" s="1">
        <v>4534</v>
      </c>
      <c r="G18">
        <v>10</v>
      </c>
      <c r="H18">
        <v>183.09944673815801</v>
      </c>
      <c r="I18">
        <v>2.25864170006389E-2</v>
      </c>
      <c r="J18" s="1">
        <v>246</v>
      </c>
      <c r="K18">
        <v>2</v>
      </c>
      <c r="L18">
        <v>45.5050171909539</v>
      </c>
      <c r="M18">
        <v>7.6558299952010004E-4</v>
      </c>
      <c r="N18" s="1">
        <v>400</v>
      </c>
      <c r="O18">
        <v>2</v>
      </c>
      <c r="P18">
        <v>59.557802436641602</v>
      </c>
      <c r="Q18">
        <v>0.12165449999974901</v>
      </c>
      <c r="R18" t="e">
        <f t="shared" si="1"/>
        <v>#N/A</v>
      </c>
      <c r="S18" s="1"/>
      <c r="T18">
        <f t="shared" si="0"/>
        <v>0</v>
      </c>
    </row>
    <row r="19" spans="1:20" x14ac:dyDescent="0.25">
      <c r="A19" t="s">
        <v>9</v>
      </c>
      <c r="B19" t="s">
        <v>18</v>
      </c>
      <c r="C19" t="s">
        <v>11</v>
      </c>
      <c r="D19" t="s">
        <v>22</v>
      </c>
      <c r="E19" s="2">
        <v>134</v>
      </c>
      <c r="F19" s="1">
        <v>4534</v>
      </c>
      <c r="G19">
        <v>10</v>
      </c>
      <c r="H19">
        <v>776.78840586934405</v>
      </c>
      <c r="I19">
        <v>2.1239875000901499E-2</v>
      </c>
      <c r="J19" s="1">
        <v>3376</v>
      </c>
      <c r="K19">
        <v>2</v>
      </c>
      <c r="L19">
        <v>921.55344020151199</v>
      </c>
      <c r="M19">
        <v>7.6976249983999002E-3</v>
      </c>
      <c r="N19" s="1">
        <v>400</v>
      </c>
      <c r="O19">
        <v>9</v>
      </c>
      <c r="P19">
        <v>819.59416134298203</v>
      </c>
      <c r="Q19">
        <v>0.23187733299982899</v>
      </c>
      <c r="R19" t="e">
        <f t="shared" si="1"/>
        <v>#N/A</v>
      </c>
      <c r="S19" s="1"/>
      <c r="T19">
        <f t="shared" si="0"/>
        <v>0</v>
      </c>
    </row>
    <row r="20" spans="1:20" x14ac:dyDescent="0.25">
      <c r="A20" t="s">
        <v>9</v>
      </c>
      <c r="B20" t="s">
        <v>18</v>
      </c>
      <c r="C20" t="s">
        <v>13</v>
      </c>
      <c r="D20" t="s">
        <v>22</v>
      </c>
      <c r="E20" s="2">
        <v>134</v>
      </c>
      <c r="F20" s="1">
        <v>4534</v>
      </c>
      <c r="G20">
        <v>10</v>
      </c>
      <c r="H20">
        <v>43.035614517001903</v>
      </c>
      <c r="I20">
        <v>2.35779159993398E-2</v>
      </c>
      <c r="J20" s="1">
        <v>246</v>
      </c>
      <c r="K20">
        <v>0</v>
      </c>
      <c r="L20">
        <v>14.071543688649699</v>
      </c>
      <c r="M20">
        <v>7.4991699875680002E-4</v>
      </c>
      <c r="N20" s="1">
        <v>400</v>
      </c>
      <c r="O20">
        <v>1</v>
      </c>
      <c r="P20">
        <v>14.071543688653501</v>
      </c>
      <c r="Q20">
        <v>6.4058417000069298E-2</v>
      </c>
      <c r="R20" t="e">
        <f t="shared" si="1"/>
        <v>#N/A</v>
      </c>
      <c r="S20" s="1"/>
      <c r="T20">
        <f t="shared" si="0"/>
        <v>0</v>
      </c>
    </row>
    <row r="21" spans="1:20" x14ac:dyDescent="0.25">
      <c r="A21" t="s">
        <v>9</v>
      </c>
      <c r="B21" t="s">
        <v>18</v>
      </c>
      <c r="C21" t="s">
        <v>11</v>
      </c>
      <c r="D21" t="s">
        <v>23</v>
      </c>
      <c r="E21" s="2">
        <v>144</v>
      </c>
      <c r="F21" s="1">
        <v>5719</v>
      </c>
      <c r="G21">
        <v>10</v>
      </c>
      <c r="H21">
        <v>2233.4543852075799</v>
      </c>
      <c r="I21">
        <v>6.0550374999365802E-2</v>
      </c>
      <c r="J21" s="1">
        <v>2554</v>
      </c>
      <c r="K21">
        <v>1</v>
      </c>
      <c r="L21">
        <v>2286.6403570822299</v>
      </c>
      <c r="M21">
        <v>5.7242079983552E-3</v>
      </c>
      <c r="N21" s="1">
        <v>400</v>
      </c>
      <c r="O21">
        <v>3</v>
      </c>
      <c r="P21">
        <v>2265.09273903135</v>
      </c>
      <c r="Q21">
        <v>0.23167404199966701</v>
      </c>
      <c r="R21" t="e">
        <f t="shared" si="1"/>
        <v>#N/A</v>
      </c>
      <c r="S21" s="1"/>
      <c r="T21">
        <f t="shared" si="0"/>
        <v>0</v>
      </c>
    </row>
    <row r="22" spans="1:20" x14ac:dyDescent="0.25">
      <c r="A22" t="s">
        <v>9</v>
      </c>
      <c r="B22" t="s">
        <v>18</v>
      </c>
      <c r="C22" t="s">
        <v>13</v>
      </c>
      <c r="D22" t="s">
        <v>23</v>
      </c>
      <c r="E22" s="2">
        <v>144</v>
      </c>
      <c r="F22" s="1">
        <v>5719</v>
      </c>
      <c r="G22">
        <v>10</v>
      </c>
      <c r="H22">
        <v>4726.1067260092696</v>
      </c>
      <c r="I22">
        <v>2.8701416998956099E-2</v>
      </c>
      <c r="J22" s="1">
        <v>266</v>
      </c>
      <c r="K22">
        <v>0</v>
      </c>
      <c r="L22">
        <v>294.075487969275</v>
      </c>
      <c r="M22">
        <v>8.0600000001140003E-4</v>
      </c>
      <c r="N22" s="1">
        <v>400</v>
      </c>
      <c r="O22">
        <v>1</v>
      </c>
      <c r="P22">
        <v>294.075487969275</v>
      </c>
      <c r="Q22">
        <v>6.6929708999850804E-2</v>
      </c>
      <c r="R22" t="e">
        <f t="shared" si="1"/>
        <v>#N/A</v>
      </c>
      <c r="S22" s="1"/>
      <c r="T22">
        <f t="shared" si="0"/>
        <v>0</v>
      </c>
    </row>
    <row r="23" spans="1:20" x14ac:dyDescent="0.25">
      <c r="A23" t="s">
        <v>9</v>
      </c>
      <c r="B23" t="s">
        <v>24</v>
      </c>
      <c r="C23" t="s">
        <v>11</v>
      </c>
      <c r="D23" t="s">
        <v>25</v>
      </c>
      <c r="E23" s="2">
        <v>140</v>
      </c>
      <c r="F23" s="1">
        <v>5233</v>
      </c>
      <c r="G23">
        <v>10</v>
      </c>
      <c r="H23">
        <v>1537.89692594907</v>
      </c>
      <c r="I23">
        <v>2.5402334000318601E-2</v>
      </c>
      <c r="J23" s="1">
        <v>4286</v>
      </c>
      <c r="K23">
        <v>1</v>
      </c>
      <c r="L23">
        <v>1621.9412258868799</v>
      </c>
      <c r="M23">
        <v>9.6422500009794004E-3</v>
      </c>
      <c r="N23" s="1">
        <v>400</v>
      </c>
      <c r="O23">
        <v>6</v>
      </c>
      <c r="P23">
        <v>1569.1642478953299</v>
      </c>
      <c r="Q23">
        <v>0.245683124999686</v>
      </c>
      <c r="R23" t="e">
        <f t="shared" si="1"/>
        <v>#N/A</v>
      </c>
      <c r="S23" s="1"/>
      <c r="T23">
        <f t="shared" si="0"/>
        <v>0</v>
      </c>
    </row>
    <row r="24" spans="1:20" x14ac:dyDescent="0.25">
      <c r="A24" t="s">
        <v>9</v>
      </c>
      <c r="B24" t="s">
        <v>24</v>
      </c>
      <c r="C24" t="s">
        <v>13</v>
      </c>
      <c r="D24" t="s">
        <v>25</v>
      </c>
      <c r="E24" s="2">
        <v>140</v>
      </c>
      <c r="F24" s="1">
        <v>5233</v>
      </c>
      <c r="G24">
        <v>10</v>
      </c>
      <c r="H24">
        <v>497.55302027796102</v>
      </c>
      <c r="I24">
        <v>2.6228792001347701E-2</v>
      </c>
      <c r="J24" s="1">
        <v>258</v>
      </c>
      <c r="K24">
        <v>0</v>
      </c>
      <c r="L24">
        <v>31.554707791756801</v>
      </c>
      <c r="M24">
        <v>7.7354199856919997E-4</v>
      </c>
      <c r="N24" s="1">
        <v>400</v>
      </c>
      <c r="O24">
        <v>1</v>
      </c>
      <c r="P24">
        <v>31.554707791756599</v>
      </c>
      <c r="Q24">
        <v>6.6515416000129293E-2</v>
      </c>
      <c r="R24" t="e">
        <f t="shared" si="1"/>
        <v>#N/A</v>
      </c>
      <c r="S24" s="1"/>
      <c r="T24">
        <f t="shared" si="0"/>
        <v>0</v>
      </c>
    </row>
    <row r="25" spans="1:20" x14ac:dyDescent="0.25">
      <c r="A25" t="s">
        <v>9</v>
      </c>
      <c r="B25" t="s">
        <v>24</v>
      </c>
      <c r="C25" t="s">
        <v>11</v>
      </c>
      <c r="D25" t="s">
        <v>26</v>
      </c>
      <c r="E25" s="2">
        <v>134</v>
      </c>
      <c r="F25" s="1">
        <v>4534</v>
      </c>
      <c r="G25">
        <v>10</v>
      </c>
      <c r="H25">
        <v>1499.62578072622</v>
      </c>
      <c r="I25">
        <v>2.24415829998179E-2</v>
      </c>
      <c r="J25" s="1">
        <v>5736</v>
      </c>
      <c r="K25">
        <v>0</v>
      </c>
      <c r="L25">
        <v>1618.5261927461199</v>
      </c>
      <c r="M25">
        <v>1.2934625001435E-2</v>
      </c>
      <c r="N25" s="1">
        <v>400</v>
      </c>
      <c r="O25">
        <v>4</v>
      </c>
      <c r="P25">
        <v>1545.9045904730499</v>
      </c>
      <c r="Q25">
        <v>0.28359795899996199</v>
      </c>
      <c r="R25" t="e">
        <f t="shared" si="1"/>
        <v>#N/A</v>
      </c>
      <c r="S25" s="1"/>
      <c r="T25">
        <f t="shared" si="0"/>
        <v>0</v>
      </c>
    </row>
    <row r="26" spans="1:20" x14ac:dyDescent="0.25">
      <c r="A26" t="s">
        <v>9</v>
      </c>
      <c r="B26" t="s">
        <v>24</v>
      </c>
      <c r="C26" t="s">
        <v>13</v>
      </c>
      <c r="D26" t="s">
        <v>26</v>
      </c>
      <c r="E26" s="2">
        <v>134</v>
      </c>
      <c r="F26" s="1">
        <v>4534</v>
      </c>
      <c r="G26">
        <v>10</v>
      </c>
      <c r="H26">
        <v>602.60833157756599</v>
      </c>
      <c r="I26">
        <v>2.3885416998382401E-2</v>
      </c>
      <c r="J26" s="1">
        <v>246</v>
      </c>
      <c r="K26">
        <v>0</v>
      </c>
      <c r="L26">
        <v>35.710028706881097</v>
      </c>
      <c r="M26">
        <v>7.4612499884089999E-4</v>
      </c>
      <c r="N26" s="1">
        <v>400</v>
      </c>
      <c r="O26">
        <v>1</v>
      </c>
      <c r="P26">
        <v>35.710028706881097</v>
      </c>
      <c r="Q26">
        <v>6.3750917000106697E-2</v>
      </c>
      <c r="R26" t="e">
        <f t="shared" si="1"/>
        <v>#N/A</v>
      </c>
      <c r="S26" s="1"/>
      <c r="T26">
        <f t="shared" si="0"/>
        <v>0</v>
      </c>
    </row>
    <row r="27" spans="1:20" x14ac:dyDescent="0.25">
      <c r="A27" t="s">
        <v>9</v>
      </c>
      <c r="B27" t="s">
        <v>24</v>
      </c>
      <c r="C27" t="s">
        <v>11</v>
      </c>
      <c r="D27" t="s">
        <v>27</v>
      </c>
      <c r="E27" s="2">
        <v>133</v>
      </c>
      <c r="F27" s="1">
        <v>4421</v>
      </c>
      <c r="G27">
        <v>10</v>
      </c>
      <c r="H27">
        <v>1570.0986124132901</v>
      </c>
      <c r="I27">
        <v>2.03480830004991E-2</v>
      </c>
      <c r="J27" s="1">
        <v>2828</v>
      </c>
      <c r="K27">
        <v>1</v>
      </c>
      <c r="L27">
        <v>1620.3091390955301</v>
      </c>
      <c r="M27">
        <v>6.2595840008725003E-3</v>
      </c>
      <c r="N27" s="1">
        <v>400</v>
      </c>
      <c r="O27">
        <v>5</v>
      </c>
      <c r="P27">
        <v>1598.0351815039201</v>
      </c>
      <c r="Q27">
        <v>0.21492808299990401</v>
      </c>
      <c r="R27" t="e">
        <f t="shared" si="1"/>
        <v>#N/A</v>
      </c>
      <c r="S27" s="1"/>
      <c r="T27">
        <f t="shared" si="0"/>
        <v>0</v>
      </c>
    </row>
    <row r="28" spans="1:20" x14ac:dyDescent="0.25">
      <c r="A28" t="s">
        <v>9</v>
      </c>
      <c r="B28" t="s">
        <v>24</v>
      </c>
      <c r="C28" t="s">
        <v>13</v>
      </c>
      <c r="D28" t="s">
        <v>27</v>
      </c>
      <c r="E28" s="2">
        <v>133</v>
      </c>
      <c r="F28" s="1">
        <v>4421</v>
      </c>
      <c r="G28">
        <v>10</v>
      </c>
      <c r="H28">
        <v>815.418750065057</v>
      </c>
      <c r="I28">
        <v>2.38602499994158E-2</v>
      </c>
      <c r="J28" s="1">
        <v>244</v>
      </c>
      <c r="K28">
        <v>0</v>
      </c>
      <c r="L28">
        <v>55.576376345611699</v>
      </c>
      <c r="M28">
        <v>7.4733300061779996E-4</v>
      </c>
      <c r="N28" s="1">
        <v>400</v>
      </c>
      <c r="O28">
        <v>1</v>
      </c>
      <c r="P28">
        <v>55.576376345611301</v>
      </c>
      <c r="Q28">
        <v>6.3204916999893598E-2</v>
      </c>
      <c r="R28" t="e">
        <f t="shared" si="1"/>
        <v>#N/A</v>
      </c>
      <c r="S28" s="1"/>
      <c r="T28">
        <f t="shared" si="0"/>
        <v>0</v>
      </c>
    </row>
    <row r="29" spans="1:20" x14ac:dyDescent="0.25">
      <c r="A29" t="s">
        <v>9</v>
      </c>
      <c r="B29" t="s">
        <v>24</v>
      </c>
      <c r="C29" t="s">
        <v>11</v>
      </c>
      <c r="D29" t="s">
        <v>28</v>
      </c>
      <c r="E29" s="2">
        <v>144</v>
      </c>
      <c r="F29" s="1">
        <v>5719</v>
      </c>
      <c r="G29">
        <v>10</v>
      </c>
      <c r="H29">
        <v>1516.2880216756</v>
      </c>
      <c r="I29">
        <v>2.8862457998911802E-2</v>
      </c>
      <c r="J29" s="1">
        <v>1235</v>
      </c>
      <c r="K29">
        <v>0</v>
      </c>
      <c r="L29">
        <v>1573.1483731337</v>
      </c>
      <c r="M29">
        <v>2.8499170002760001E-3</v>
      </c>
      <c r="N29" s="1">
        <v>400</v>
      </c>
      <c r="O29">
        <v>1</v>
      </c>
      <c r="P29">
        <v>1573.14837313369</v>
      </c>
      <c r="Q29">
        <v>9.2376625000269996E-2</v>
      </c>
      <c r="R29" t="e">
        <f t="shared" si="1"/>
        <v>#N/A</v>
      </c>
      <c r="S29" s="1"/>
      <c r="T29">
        <f t="shared" si="0"/>
        <v>0</v>
      </c>
    </row>
    <row r="30" spans="1:20" x14ac:dyDescent="0.25">
      <c r="A30" t="s">
        <v>9</v>
      </c>
      <c r="B30" t="s">
        <v>24</v>
      </c>
      <c r="C30" t="s">
        <v>13</v>
      </c>
      <c r="D30" t="s">
        <v>28</v>
      </c>
      <c r="E30" s="2">
        <v>144</v>
      </c>
      <c r="F30" s="1">
        <v>5719</v>
      </c>
      <c r="G30">
        <v>10</v>
      </c>
      <c r="H30">
        <v>417.76059881302803</v>
      </c>
      <c r="I30">
        <v>3.0643165999208501E-2</v>
      </c>
      <c r="J30" s="1">
        <v>266</v>
      </c>
      <c r="K30">
        <v>0</v>
      </c>
      <c r="L30">
        <v>19.366121041390201</v>
      </c>
      <c r="M30">
        <v>8.3033299961240005E-4</v>
      </c>
      <c r="N30" s="1">
        <v>400</v>
      </c>
      <c r="O30">
        <v>1</v>
      </c>
      <c r="P30">
        <v>19.366121041389899</v>
      </c>
      <c r="Q30">
        <v>6.9395957999858995E-2</v>
      </c>
      <c r="R30" t="e">
        <f t="shared" si="1"/>
        <v>#N/A</v>
      </c>
      <c r="S30" s="1"/>
      <c r="T30">
        <f t="shared" si="0"/>
        <v>0</v>
      </c>
    </row>
    <row r="31" spans="1:20" x14ac:dyDescent="0.25">
      <c r="A31" t="s">
        <v>9</v>
      </c>
      <c r="B31" t="s">
        <v>24</v>
      </c>
      <c r="C31" t="s">
        <v>11</v>
      </c>
      <c r="D31" t="s">
        <v>29</v>
      </c>
      <c r="E31" s="2">
        <v>144</v>
      </c>
      <c r="F31" s="1">
        <v>5719</v>
      </c>
      <c r="G31">
        <v>10</v>
      </c>
      <c r="H31">
        <v>1840.0974912085201</v>
      </c>
      <c r="I31">
        <v>2.88386659995012E-2</v>
      </c>
      <c r="J31" s="1">
        <v>2391</v>
      </c>
      <c r="K31">
        <v>0</v>
      </c>
      <c r="L31">
        <v>1955.9147773013899</v>
      </c>
      <c r="M31">
        <v>5.3568749990517001E-3</v>
      </c>
      <c r="N31" s="1">
        <v>400</v>
      </c>
      <c r="O31">
        <v>12</v>
      </c>
      <c r="P31">
        <v>1834.58395273052</v>
      </c>
      <c r="Q31">
        <v>0.53979287499987505</v>
      </c>
      <c r="R31" t="e">
        <f t="shared" si="1"/>
        <v>#N/A</v>
      </c>
      <c r="S31" s="1"/>
      <c r="T31">
        <f t="shared" si="0"/>
        <v>0</v>
      </c>
    </row>
    <row r="32" spans="1:20" x14ac:dyDescent="0.25">
      <c r="A32" t="s">
        <v>9</v>
      </c>
      <c r="B32" t="s">
        <v>24</v>
      </c>
      <c r="C32" t="s">
        <v>13</v>
      </c>
      <c r="D32" t="s">
        <v>29</v>
      </c>
      <c r="E32" s="2">
        <v>144</v>
      </c>
      <c r="F32" s="1">
        <v>5719</v>
      </c>
      <c r="G32">
        <v>10</v>
      </c>
      <c r="H32">
        <v>1241.41913480218</v>
      </c>
      <c r="I32">
        <v>3.07421249999606E-2</v>
      </c>
      <c r="J32" s="1">
        <v>266</v>
      </c>
      <c r="K32">
        <v>0</v>
      </c>
      <c r="L32">
        <v>73.154615060258706</v>
      </c>
      <c r="M32">
        <v>7.997500015335E-4</v>
      </c>
      <c r="N32" s="1">
        <v>400</v>
      </c>
      <c r="O32">
        <v>1</v>
      </c>
      <c r="P32">
        <v>73.154615060258607</v>
      </c>
      <c r="Q32">
        <v>6.80429169997296E-2</v>
      </c>
      <c r="R32" t="e">
        <f t="shared" si="1"/>
        <v>#N/A</v>
      </c>
      <c r="S32" s="1"/>
      <c r="T32">
        <f t="shared" si="0"/>
        <v>0</v>
      </c>
    </row>
    <row r="33" spans="1:20" x14ac:dyDescent="0.25">
      <c r="A33" t="s">
        <v>9</v>
      </c>
      <c r="B33" t="s">
        <v>30</v>
      </c>
      <c r="C33" t="s">
        <v>11</v>
      </c>
      <c r="D33" t="s">
        <v>31</v>
      </c>
      <c r="E33" s="2">
        <v>120</v>
      </c>
      <c r="F33" s="1">
        <v>3043</v>
      </c>
      <c r="G33">
        <v>10</v>
      </c>
      <c r="H33">
        <v>1176.58328992621</v>
      </c>
      <c r="I33">
        <v>1.3535584001147001E-2</v>
      </c>
      <c r="J33" s="1">
        <v>3231</v>
      </c>
      <c r="K33">
        <v>1</v>
      </c>
      <c r="L33">
        <v>1273.0045571595499</v>
      </c>
      <c r="M33">
        <v>7.3171250005543004E-3</v>
      </c>
      <c r="N33" s="1">
        <v>400</v>
      </c>
      <c r="O33">
        <v>5</v>
      </c>
      <c r="P33">
        <v>1200.8838065617099</v>
      </c>
      <c r="Q33">
        <v>0.24662879100014801</v>
      </c>
      <c r="R33" t="e">
        <f t="shared" si="1"/>
        <v>#N/A</v>
      </c>
      <c r="S33" s="1"/>
      <c r="T33">
        <f t="shared" si="0"/>
        <v>0</v>
      </c>
    </row>
    <row r="34" spans="1:20" x14ac:dyDescent="0.25">
      <c r="A34" t="s">
        <v>9</v>
      </c>
      <c r="B34" t="s">
        <v>30</v>
      </c>
      <c r="C34" t="s">
        <v>13</v>
      </c>
      <c r="D34" t="s">
        <v>31</v>
      </c>
      <c r="E34" s="2">
        <v>120</v>
      </c>
      <c r="F34" s="1">
        <v>3043</v>
      </c>
      <c r="G34">
        <v>10</v>
      </c>
      <c r="H34">
        <v>308.22554380717401</v>
      </c>
      <c r="I34">
        <v>1.6589250000833999E-2</v>
      </c>
      <c r="J34" s="1">
        <v>218</v>
      </c>
      <c r="K34">
        <v>0</v>
      </c>
      <c r="L34">
        <v>24.161143430101099</v>
      </c>
      <c r="M34">
        <v>6.7116699938189999E-4</v>
      </c>
      <c r="N34" s="1">
        <v>400</v>
      </c>
      <c r="O34">
        <v>1</v>
      </c>
      <c r="P34">
        <v>24.161143430101198</v>
      </c>
      <c r="Q34">
        <v>5.7045458999709801E-2</v>
      </c>
      <c r="R34" t="e">
        <f t="shared" si="1"/>
        <v>#N/A</v>
      </c>
      <c r="S34" s="1"/>
      <c r="T34">
        <f t="shared" si="0"/>
        <v>0</v>
      </c>
    </row>
    <row r="35" spans="1:20" x14ac:dyDescent="0.25">
      <c r="A35" t="s">
        <v>9</v>
      </c>
      <c r="B35" t="s">
        <v>30</v>
      </c>
      <c r="C35" t="s">
        <v>11</v>
      </c>
      <c r="D35" t="s">
        <v>32</v>
      </c>
      <c r="E35" s="2">
        <v>98</v>
      </c>
      <c r="F35" s="1">
        <v>1096</v>
      </c>
      <c r="G35">
        <v>10</v>
      </c>
      <c r="H35">
        <v>612.26053328434296</v>
      </c>
      <c r="I35">
        <v>4.2301659996154999E-3</v>
      </c>
      <c r="J35" s="1">
        <v>1988</v>
      </c>
      <c r="K35">
        <v>4</v>
      </c>
      <c r="L35">
        <v>664.59311704472304</v>
      </c>
      <c r="M35">
        <v>4.5255000004544004E-3</v>
      </c>
      <c r="N35" s="1">
        <v>400</v>
      </c>
      <c r="O35">
        <v>7</v>
      </c>
      <c r="P35">
        <v>635.75275702848705</v>
      </c>
      <c r="Q35">
        <v>0.15228187499997101</v>
      </c>
      <c r="R35" t="e">
        <f t="shared" si="1"/>
        <v>#N/A</v>
      </c>
      <c r="S35" s="1"/>
      <c r="T35">
        <f t="shared" si="0"/>
        <v>0</v>
      </c>
    </row>
    <row r="36" spans="1:20" x14ac:dyDescent="0.25">
      <c r="A36" t="s">
        <v>9</v>
      </c>
      <c r="B36" t="s">
        <v>30</v>
      </c>
      <c r="C36" t="s">
        <v>13</v>
      </c>
      <c r="D36" t="s">
        <v>32</v>
      </c>
      <c r="E36" s="2">
        <v>98</v>
      </c>
      <c r="F36" s="1">
        <v>1096</v>
      </c>
      <c r="G36">
        <v>10</v>
      </c>
      <c r="H36">
        <v>63.5907224581129</v>
      </c>
      <c r="I36">
        <v>4.6614580005552003E-3</v>
      </c>
      <c r="J36" s="1">
        <v>174</v>
      </c>
      <c r="K36">
        <v>2</v>
      </c>
      <c r="L36">
        <v>29.576714183799201</v>
      </c>
      <c r="M36">
        <v>5.340829993656E-4</v>
      </c>
      <c r="N36" s="1">
        <v>400</v>
      </c>
      <c r="O36">
        <v>1</v>
      </c>
      <c r="P36">
        <v>25.430689006450802</v>
      </c>
      <c r="Q36">
        <v>4.4803540999964697E-2</v>
      </c>
      <c r="R36" t="e">
        <f t="shared" si="1"/>
        <v>#N/A</v>
      </c>
      <c r="S36" s="1"/>
      <c r="T36">
        <f t="shared" si="0"/>
        <v>0</v>
      </c>
    </row>
    <row r="37" spans="1:20" x14ac:dyDescent="0.25">
      <c r="A37" t="s">
        <v>9</v>
      </c>
      <c r="B37" t="s">
        <v>30</v>
      </c>
      <c r="C37" t="s">
        <v>11</v>
      </c>
      <c r="D37" t="s">
        <v>33</v>
      </c>
      <c r="E37" s="2">
        <v>134</v>
      </c>
      <c r="F37" s="1">
        <v>4534</v>
      </c>
      <c r="G37">
        <v>10</v>
      </c>
      <c r="H37">
        <v>1283.64958535754</v>
      </c>
      <c r="I37">
        <v>5.0656583000090898E-2</v>
      </c>
      <c r="J37" s="1">
        <v>4915</v>
      </c>
      <c r="K37">
        <v>2</v>
      </c>
      <c r="L37">
        <v>1369.37997399242</v>
      </c>
      <c r="M37">
        <v>1.13620419997459E-2</v>
      </c>
      <c r="N37" s="1">
        <v>400</v>
      </c>
      <c r="O37">
        <v>8</v>
      </c>
      <c r="P37">
        <v>1319.33975467812</v>
      </c>
      <c r="Q37">
        <v>0.27393779200019702</v>
      </c>
      <c r="R37" t="e">
        <f t="shared" si="1"/>
        <v>#N/A</v>
      </c>
      <c r="S37" s="1"/>
      <c r="T37">
        <f t="shared" si="0"/>
        <v>0</v>
      </c>
    </row>
    <row r="38" spans="1:20" x14ac:dyDescent="0.25">
      <c r="A38" t="s">
        <v>9</v>
      </c>
      <c r="B38" t="s">
        <v>30</v>
      </c>
      <c r="C38" t="s">
        <v>13</v>
      </c>
      <c r="D38" t="s">
        <v>33</v>
      </c>
      <c r="E38" s="2">
        <v>134</v>
      </c>
      <c r="F38" s="1">
        <v>4534</v>
      </c>
      <c r="G38">
        <v>10</v>
      </c>
      <c r="H38">
        <v>283.23366526190603</v>
      </c>
      <c r="I38">
        <v>2.3306749999392098E-2</v>
      </c>
      <c r="J38" s="1">
        <v>246</v>
      </c>
      <c r="K38">
        <v>0</v>
      </c>
      <c r="L38">
        <v>23.855071083061901</v>
      </c>
      <c r="M38">
        <v>7.3291700027760002E-4</v>
      </c>
      <c r="N38" s="1">
        <v>400</v>
      </c>
      <c r="O38">
        <v>1</v>
      </c>
      <c r="P38">
        <v>23.855071083061699</v>
      </c>
      <c r="Q38">
        <v>6.4518625000346205E-2</v>
      </c>
      <c r="R38" t="e">
        <f t="shared" si="1"/>
        <v>#N/A</v>
      </c>
      <c r="S38" s="1"/>
      <c r="T38">
        <f t="shared" si="0"/>
        <v>0</v>
      </c>
    </row>
    <row r="39" spans="1:20" x14ac:dyDescent="0.25">
      <c r="A39" t="s">
        <v>9</v>
      </c>
      <c r="B39" t="s">
        <v>30</v>
      </c>
      <c r="C39" t="s">
        <v>11</v>
      </c>
      <c r="D39" t="s">
        <v>34</v>
      </c>
      <c r="E39" s="2">
        <v>144</v>
      </c>
      <c r="F39" s="1">
        <v>5719</v>
      </c>
      <c r="G39">
        <v>10</v>
      </c>
      <c r="H39">
        <v>1224.24714964292</v>
      </c>
      <c r="I39">
        <v>2.7123333999043001E-2</v>
      </c>
      <c r="J39" s="1">
        <v>5912</v>
      </c>
      <c r="K39">
        <v>2</v>
      </c>
      <c r="L39">
        <v>1330.1417823788099</v>
      </c>
      <c r="M39">
        <v>1.3548124999942899E-2</v>
      </c>
      <c r="N39" s="1">
        <v>400</v>
      </c>
      <c r="O39">
        <v>9</v>
      </c>
      <c r="P39">
        <v>1238.1691372530199</v>
      </c>
      <c r="Q39">
        <v>0.3282644169999</v>
      </c>
      <c r="R39" t="e">
        <f t="shared" si="1"/>
        <v>#N/A</v>
      </c>
      <c r="S39" s="1"/>
      <c r="T39">
        <f t="shared" si="0"/>
        <v>0</v>
      </c>
    </row>
    <row r="40" spans="1:20" x14ac:dyDescent="0.25">
      <c r="A40" t="s">
        <v>9</v>
      </c>
      <c r="B40" t="s">
        <v>30</v>
      </c>
      <c r="C40" t="s">
        <v>13</v>
      </c>
      <c r="D40" t="s">
        <v>34</v>
      </c>
      <c r="E40" s="2">
        <v>144</v>
      </c>
      <c r="F40" s="1">
        <v>5719</v>
      </c>
      <c r="G40">
        <v>10</v>
      </c>
      <c r="H40">
        <v>148.05848912584599</v>
      </c>
      <c r="I40">
        <v>2.91035410009499E-2</v>
      </c>
      <c r="J40" s="1">
        <v>266</v>
      </c>
      <c r="K40">
        <v>1</v>
      </c>
      <c r="L40">
        <v>32.719573794235501</v>
      </c>
      <c r="M40">
        <v>8.4695900113720003E-4</v>
      </c>
      <c r="N40" s="1">
        <v>400</v>
      </c>
      <c r="O40">
        <v>1</v>
      </c>
      <c r="P40">
        <v>17.356273300478399</v>
      </c>
      <c r="Q40">
        <v>6.8160041999817594E-2</v>
      </c>
      <c r="R40" t="e">
        <f t="shared" si="1"/>
        <v>#N/A</v>
      </c>
      <c r="S40" s="1"/>
      <c r="T40">
        <f t="shared" si="0"/>
        <v>0</v>
      </c>
    </row>
    <row r="41" spans="1:20" x14ac:dyDescent="0.25">
      <c r="A41" t="s">
        <v>9</v>
      </c>
      <c r="B41" t="s">
        <v>30</v>
      </c>
      <c r="C41" t="s">
        <v>11</v>
      </c>
      <c r="D41" t="s">
        <v>35</v>
      </c>
      <c r="E41" s="2">
        <v>144</v>
      </c>
      <c r="F41" s="1">
        <v>5719</v>
      </c>
      <c r="G41">
        <v>10</v>
      </c>
      <c r="H41">
        <v>1772.64692567458</v>
      </c>
      <c r="I41">
        <v>2.75220420007826E-2</v>
      </c>
      <c r="J41" s="1">
        <v>1685</v>
      </c>
      <c r="K41">
        <v>0</v>
      </c>
      <c r="L41">
        <v>1906.9925842160401</v>
      </c>
      <c r="M41">
        <v>3.7926660006632998E-3</v>
      </c>
      <c r="N41" s="1">
        <v>400</v>
      </c>
      <c r="O41">
        <v>11</v>
      </c>
      <c r="P41">
        <v>1781.3594327082101</v>
      </c>
      <c r="Q41">
        <v>0.24056537499973199</v>
      </c>
      <c r="R41" t="e">
        <f t="shared" si="1"/>
        <v>#N/A</v>
      </c>
      <c r="S41" s="1"/>
      <c r="T41">
        <f t="shared" si="0"/>
        <v>0</v>
      </c>
    </row>
    <row r="42" spans="1:20" x14ac:dyDescent="0.25">
      <c r="A42" t="s">
        <v>9</v>
      </c>
      <c r="B42" t="s">
        <v>30</v>
      </c>
      <c r="C42" t="s">
        <v>13</v>
      </c>
      <c r="D42" t="s">
        <v>35</v>
      </c>
      <c r="E42" s="2">
        <v>144</v>
      </c>
      <c r="F42" s="1">
        <v>5719</v>
      </c>
      <c r="G42">
        <v>10</v>
      </c>
      <c r="H42">
        <v>1102.2227488532201</v>
      </c>
      <c r="I42">
        <v>3.0110792000414201E-2</v>
      </c>
      <c r="J42" s="1">
        <v>266</v>
      </c>
      <c r="K42">
        <v>0</v>
      </c>
      <c r="L42">
        <v>61.7260773958089</v>
      </c>
      <c r="M42">
        <v>8.0808399980010005E-4</v>
      </c>
      <c r="N42" s="1">
        <v>400</v>
      </c>
      <c r="O42">
        <v>1</v>
      </c>
      <c r="P42">
        <v>61.726077395808701</v>
      </c>
      <c r="Q42">
        <v>6.8534250000084201E-2</v>
      </c>
      <c r="R42" t="e">
        <f t="shared" si="1"/>
        <v>#N/A</v>
      </c>
      <c r="S42" s="1"/>
      <c r="T42">
        <f t="shared" si="0"/>
        <v>0</v>
      </c>
    </row>
    <row r="43" spans="1:20" x14ac:dyDescent="0.25">
      <c r="A43" t="s">
        <v>9</v>
      </c>
      <c r="B43" t="s">
        <v>36</v>
      </c>
      <c r="C43" t="s">
        <v>11</v>
      </c>
      <c r="D43" t="s">
        <v>37</v>
      </c>
      <c r="E43" s="2">
        <v>126</v>
      </c>
      <c r="F43" s="1">
        <v>3658</v>
      </c>
      <c r="G43">
        <v>10</v>
      </c>
      <c r="H43">
        <v>1504.0408442484299</v>
      </c>
      <c r="I43">
        <v>1.7659916999036698E-2</v>
      </c>
      <c r="J43" s="1">
        <v>2793</v>
      </c>
      <c r="K43">
        <v>0</v>
      </c>
      <c r="L43">
        <v>1577.0242400668201</v>
      </c>
      <c r="M43">
        <v>6.3067089995456002E-3</v>
      </c>
      <c r="N43" s="1">
        <v>400</v>
      </c>
      <c r="O43">
        <v>4</v>
      </c>
      <c r="P43">
        <v>1531.6239044956701</v>
      </c>
      <c r="Q43">
        <v>0.25763295799970298</v>
      </c>
      <c r="R43" t="e">
        <f t="shared" si="1"/>
        <v>#N/A</v>
      </c>
      <c r="S43" s="1"/>
      <c r="T43">
        <f t="shared" si="0"/>
        <v>0</v>
      </c>
    </row>
    <row r="44" spans="1:20" x14ac:dyDescent="0.25">
      <c r="A44" t="s">
        <v>9</v>
      </c>
      <c r="B44" t="s">
        <v>36</v>
      </c>
      <c r="C44" t="s">
        <v>13</v>
      </c>
      <c r="D44" t="s">
        <v>37</v>
      </c>
      <c r="E44" s="2">
        <v>126</v>
      </c>
      <c r="F44" s="1">
        <v>3658</v>
      </c>
      <c r="G44">
        <v>10</v>
      </c>
      <c r="H44">
        <v>908.56816963772303</v>
      </c>
      <c r="I44">
        <v>1.7593417000170999E-2</v>
      </c>
      <c r="J44" s="1">
        <v>230</v>
      </c>
      <c r="K44">
        <v>0</v>
      </c>
      <c r="L44">
        <v>45.787848042375998</v>
      </c>
      <c r="M44">
        <v>7.1470799957749995E-4</v>
      </c>
      <c r="N44" s="1">
        <v>400</v>
      </c>
      <c r="O44">
        <v>1</v>
      </c>
      <c r="P44">
        <v>45.787848042376197</v>
      </c>
      <c r="Q44">
        <v>5.7783624999956297E-2</v>
      </c>
      <c r="R44" t="e">
        <f t="shared" si="1"/>
        <v>#N/A</v>
      </c>
      <c r="S44" s="1"/>
      <c r="T44">
        <f t="shared" si="0"/>
        <v>0</v>
      </c>
    </row>
    <row r="45" spans="1:20" x14ac:dyDescent="0.25">
      <c r="A45" t="s">
        <v>9</v>
      </c>
      <c r="B45" t="s">
        <v>36</v>
      </c>
      <c r="C45" t="s">
        <v>11</v>
      </c>
      <c r="D45" t="s">
        <v>38</v>
      </c>
      <c r="E45" s="2">
        <v>69</v>
      </c>
      <c r="F45" s="1">
        <v>138</v>
      </c>
      <c r="G45">
        <v>8</v>
      </c>
      <c r="H45">
        <v>915.65599004713397</v>
      </c>
      <c r="I45">
        <v>6.114589996286E-4</v>
      </c>
      <c r="J45" s="1">
        <v>817</v>
      </c>
      <c r="K45">
        <v>0</v>
      </c>
      <c r="L45">
        <v>941.65966425305203</v>
      </c>
      <c r="M45">
        <v>1.8854579993785E-3</v>
      </c>
      <c r="N45" s="1">
        <v>400</v>
      </c>
      <c r="O45">
        <v>2</v>
      </c>
      <c r="P45">
        <v>924.19287834171098</v>
      </c>
      <c r="Q45">
        <v>7.5617417000103104E-2</v>
      </c>
      <c r="R45" t="e">
        <f t="shared" si="1"/>
        <v>#N/A</v>
      </c>
      <c r="S45" s="1"/>
      <c r="T45">
        <f t="shared" si="0"/>
        <v>0</v>
      </c>
    </row>
    <row r="46" spans="1:20" x14ac:dyDescent="0.25">
      <c r="A46" t="s">
        <v>9</v>
      </c>
      <c r="B46" t="s">
        <v>36</v>
      </c>
      <c r="C46" t="s">
        <v>13</v>
      </c>
      <c r="D46" t="s">
        <v>38</v>
      </c>
      <c r="E46" s="2">
        <v>69</v>
      </c>
      <c r="F46" s="1">
        <v>138</v>
      </c>
      <c r="G46">
        <v>8</v>
      </c>
      <c r="H46">
        <v>1813.7011639406701</v>
      </c>
      <c r="I46">
        <v>6.7149999995299995E-4</v>
      </c>
      <c r="J46" s="1">
        <v>116</v>
      </c>
      <c r="K46">
        <v>0</v>
      </c>
      <c r="L46">
        <v>107.509798893568</v>
      </c>
      <c r="M46">
        <v>3.5845799902739999E-4</v>
      </c>
      <c r="N46" s="1">
        <v>400</v>
      </c>
      <c r="O46">
        <v>1</v>
      </c>
      <c r="P46">
        <v>107.509798893568</v>
      </c>
      <c r="Q46">
        <v>3.03250410001965E-2</v>
      </c>
      <c r="R46" t="e">
        <f t="shared" si="1"/>
        <v>#N/A</v>
      </c>
      <c r="S46" s="1"/>
      <c r="T46">
        <f t="shared" si="0"/>
        <v>0</v>
      </c>
    </row>
    <row r="47" spans="1:20" x14ac:dyDescent="0.25">
      <c r="A47" t="s">
        <v>9</v>
      </c>
      <c r="B47" t="s">
        <v>36</v>
      </c>
      <c r="C47" t="s">
        <v>11</v>
      </c>
      <c r="D47" t="s">
        <v>39</v>
      </c>
      <c r="E47" s="2">
        <v>69</v>
      </c>
      <c r="F47" s="1">
        <v>138</v>
      </c>
      <c r="G47">
        <v>8</v>
      </c>
      <c r="H47">
        <v>847.27541123226297</v>
      </c>
      <c r="I47">
        <v>6.0466700051619996E-4</v>
      </c>
      <c r="J47" s="1">
        <v>161</v>
      </c>
      <c r="K47">
        <v>0</v>
      </c>
      <c r="L47">
        <v>856.00637356914899</v>
      </c>
      <c r="M47">
        <v>4.1216699901260002E-4</v>
      </c>
      <c r="N47" s="1">
        <v>400</v>
      </c>
      <c r="O47">
        <v>1</v>
      </c>
      <c r="P47">
        <v>856.00637356914899</v>
      </c>
      <c r="Q47">
        <v>4.1321958000025902E-2</v>
      </c>
      <c r="R47" t="e">
        <f t="shared" si="1"/>
        <v>#N/A</v>
      </c>
      <c r="S47" s="1"/>
      <c r="T47">
        <f t="shared" si="0"/>
        <v>0</v>
      </c>
    </row>
    <row r="48" spans="1:20" x14ac:dyDescent="0.25">
      <c r="A48" t="s">
        <v>9</v>
      </c>
      <c r="B48" t="s">
        <v>36</v>
      </c>
      <c r="C48" t="s">
        <v>13</v>
      </c>
      <c r="D48" t="s">
        <v>39</v>
      </c>
      <c r="E48" s="2">
        <v>69</v>
      </c>
      <c r="F48" s="1">
        <v>138</v>
      </c>
      <c r="G48">
        <v>8</v>
      </c>
      <c r="H48">
        <v>1028.2235594624599</v>
      </c>
      <c r="I48">
        <v>6.7841599957309999E-4</v>
      </c>
      <c r="J48" s="1">
        <v>116</v>
      </c>
      <c r="K48">
        <v>0</v>
      </c>
      <c r="L48">
        <v>57.795214403496999</v>
      </c>
      <c r="M48">
        <v>3.61749998774E-4</v>
      </c>
      <c r="N48" s="1">
        <v>400</v>
      </c>
      <c r="O48">
        <v>1</v>
      </c>
      <c r="P48">
        <v>57.795214403496999</v>
      </c>
      <c r="Q48">
        <v>3.1436750000011601E-2</v>
      </c>
      <c r="R48" t="e">
        <f t="shared" si="1"/>
        <v>#N/A</v>
      </c>
      <c r="S48" s="1"/>
      <c r="T48">
        <f t="shared" si="0"/>
        <v>0</v>
      </c>
    </row>
    <row r="49" spans="1:20" x14ac:dyDescent="0.25">
      <c r="A49" t="s">
        <v>9</v>
      </c>
      <c r="B49" t="s">
        <v>36</v>
      </c>
      <c r="C49" t="s">
        <v>11</v>
      </c>
      <c r="D49" t="s">
        <v>40</v>
      </c>
      <c r="E49" s="2">
        <v>69</v>
      </c>
      <c r="F49" s="1">
        <v>138</v>
      </c>
      <c r="G49">
        <v>8</v>
      </c>
      <c r="H49">
        <v>977.61732862096596</v>
      </c>
      <c r="I49">
        <v>6.5462500060669995E-4</v>
      </c>
      <c r="J49" s="1">
        <v>335</v>
      </c>
      <c r="K49">
        <v>0</v>
      </c>
      <c r="L49">
        <v>993.84988286398197</v>
      </c>
      <c r="M49">
        <v>8.1408400001230002E-4</v>
      </c>
      <c r="N49" s="1">
        <v>400</v>
      </c>
      <c r="O49">
        <v>1</v>
      </c>
      <c r="P49">
        <v>993.84988286398197</v>
      </c>
      <c r="Q49">
        <v>4.1569707999769799E-2</v>
      </c>
      <c r="R49" t="e">
        <f t="shared" si="1"/>
        <v>#N/A</v>
      </c>
      <c r="S49" s="1"/>
      <c r="T49">
        <f t="shared" si="0"/>
        <v>0</v>
      </c>
    </row>
    <row r="50" spans="1:20" x14ac:dyDescent="0.25">
      <c r="A50" t="s">
        <v>9</v>
      </c>
      <c r="B50" t="s">
        <v>36</v>
      </c>
      <c r="C50" t="s">
        <v>13</v>
      </c>
      <c r="D50" t="s">
        <v>40</v>
      </c>
      <c r="E50" s="2">
        <v>69</v>
      </c>
      <c r="F50" s="1">
        <v>138</v>
      </c>
      <c r="G50">
        <v>8</v>
      </c>
      <c r="H50">
        <v>2723.22104735638</v>
      </c>
      <c r="I50">
        <v>6.8108400046179996E-4</v>
      </c>
      <c r="J50" s="1">
        <v>116</v>
      </c>
      <c r="K50">
        <v>0</v>
      </c>
      <c r="L50">
        <v>156.92562795901699</v>
      </c>
      <c r="M50">
        <v>3.6700000055129998E-4</v>
      </c>
      <c r="N50" s="1">
        <v>400</v>
      </c>
      <c r="O50">
        <v>1</v>
      </c>
      <c r="P50">
        <v>156.92562795901699</v>
      </c>
      <c r="Q50">
        <v>3.0280957999821102E-2</v>
      </c>
      <c r="R50" t="e">
        <f t="shared" si="1"/>
        <v>#N/A</v>
      </c>
      <c r="S50" s="1"/>
      <c r="T50">
        <f t="shared" si="0"/>
        <v>0</v>
      </c>
    </row>
    <row r="51" spans="1:20" x14ac:dyDescent="0.25">
      <c r="A51" t="s">
        <v>9</v>
      </c>
      <c r="B51" t="s">
        <v>36</v>
      </c>
      <c r="C51" t="s">
        <v>11</v>
      </c>
      <c r="D51" t="s">
        <v>41</v>
      </c>
      <c r="E51" s="2">
        <v>126</v>
      </c>
      <c r="F51" s="1">
        <v>3658</v>
      </c>
      <c r="G51">
        <v>10</v>
      </c>
      <c r="H51">
        <v>1375.4809083596399</v>
      </c>
      <c r="I51">
        <v>1.6591542000242002E-2</v>
      </c>
      <c r="J51" s="1">
        <v>2717</v>
      </c>
      <c r="K51">
        <v>1</v>
      </c>
      <c r="L51">
        <v>1438.38251392148</v>
      </c>
      <c r="M51">
        <v>6.1474590002034996E-3</v>
      </c>
      <c r="N51" s="1">
        <v>400</v>
      </c>
      <c r="O51">
        <v>6</v>
      </c>
      <c r="P51">
        <v>1398.88497804077</v>
      </c>
      <c r="Q51">
        <v>0.19026974999997001</v>
      </c>
      <c r="R51" t="e">
        <f t="shared" si="1"/>
        <v>#N/A</v>
      </c>
      <c r="S51" s="1"/>
      <c r="T51">
        <f t="shared" si="0"/>
        <v>0</v>
      </c>
    </row>
    <row r="52" spans="1:20" x14ac:dyDescent="0.25">
      <c r="A52" t="s">
        <v>9</v>
      </c>
      <c r="B52" t="s">
        <v>36</v>
      </c>
      <c r="C52" t="s">
        <v>13</v>
      </c>
      <c r="D52" t="s">
        <v>41</v>
      </c>
      <c r="E52" s="2">
        <v>126</v>
      </c>
      <c r="F52" s="1">
        <v>3658</v>
      </c>
      <c r="G52">
        <v>10</v>
      </c>
      <c r="H52">
        <v>522.74138639523801</v>
      </c>
      <c r="I52">
        <v>1.7620208000153001E-2</v>
      </c>
      <c r="J52" s="1">
        <v>230</v>
      </c>
      <c r="K52">
        <v>0</v>
      </c>
      <c r="L52">
        <v>41.882475058996398</v>
      </c>
      <c r="M52">
        <v>7.0658399999949998E-4</v>
      </c>
      <c r="N52" s="1">
        <v>400</v>
      </c>
      <c r="O52">
        <v>1</v>
      </c>
      <c r="P52">
        <v>41.882475058996</v>
      </c>
      <c r="Q52">
        <v>6.0836458000267102E-2</v>
      </c>
      <c r="R52" t="e">
        <f t="shared" si="1"/>
        <v>#N/A</v>
      </c>
      <c r="S52" s="1"/>
      <c r="T52">
        <f t="shared" si="0"/>
        <v>0</v>
      </c>
    </row>
    <row r="53" spans="1:20" x14ac:dyDescent="0.25">
      <c r="A53" t="s">
        <v>9</v>
      </c>
      <c r="B53" t="s">
        <v>42</v>
      </c>
      <c r="C53" t="s">
        <v>11</v>
      </c>
      <c r="D53" t="s">
        <v>43</v>
      </c>
      <c r="E53" s="2">
        <v>71</v>
      </c>
      <c r="F53" s="1">
        <v>232</v>
      </c>
      <c r="G53">
        <v>8</v>
      </c>
      <c r="H53">
        <v>450.43785842526103</v>
      </c>
      <c r="I53">
        <v>9.5099999998630004E-4</v>
      </c>
      <c r="J53" s="1">
        <v>1156</v>
      </c>
      <c r="K53">
        <v>3</v>
      </c>
      <c r="L53">
        <v>500.57053026950302</v>
      </c>
      <c r="M53">
        <v>2.6201670007138999E-3</v>
      </c>
      <c r="N53" s="1">
        <v>400</v>
      </c>
      <c r="O53">
        <v>6</v>
      </c>
      <c r="P53">
        <v>458.52154843444703</v>
      </c>
      <c r="Q53">
        <v>0.10939058400026599</v>
      </c>
      <c r="R53" t="e">
        <f t="shared" si="1"/>
        <v>#N/A</v>
      </c>
      <c r="S53" s="1"/>
      <c r="T53">
        <f t="shared" si="0"/>
        <v>0</v>
      </c>
    </row>
    <row r="54" spans="1:20" x14ac:dyDescent="0.25">
      <c r="A54" t="s">
        <v>9</v>
      </c>
      <c r="B54" t="s">
        <v>42</v>
      </c>
      <c r="C54" t="s">
        <v>13</v>
      </c>
      <c r="D54" t="s">
        <v>43</v>
      </c>
      <c r="E54" s="2">
        <v>71</v>
      </c>
      <c r="F54" s="1">
        <v>232</v>
      </c>
      <c r="G54">
        <v>8</v>
      </c>
      <c r="H54">
        <v>51.543704643035802</v>
      </c>
      <c r="I54">
        <v>1.0318749991710999E-3</v>
      </c>
      <c r="J54" s="1">
        <v>121</v>
      </c>
      <c r="K54">
        <v>3</v>
      </c>
      <c r="L54">
        <v>30.677626344310202</v>
      </c>
      <c r="M54">
        <v>3.991670000687E-4</v>
      </c>
      <c r="N54" s="1">
        <v>400</v>
      </c>
      <c r="O54">
        <v>2</v>
      </c>
      <c r="P54">
        <v>23.302874231689099</v>
      </c>
      <c r="Q54">
        <v>5.9309167000264999E-2</v>
      </c>
      <c r="R54" t="e">
        <f t="shared" si="1"/>
        <v>#N/A</v>
      </c>
      <c r="S54" s="1"/>
      <c r="T54">
        <f t="shared" si="0"/>
        <v>0</v>
      </c>
    </row>
    <row r="55" spans="1:20" x14ac:dyDescent="0.25">
      <c r="A55" t="s">
        <v>9</v>
      </c>
      <c r="B55" t="s">
        <v>42</v>
      </c>
      <c r="C55" t="s">
        <v>11</v>
      </c>
      <c r="D55" t="s">
        <v>44</v>
      </c>
      <c r="E55" s="2">
        <v>71</v>
      </c>
      <c r="F55" s="1">
        <v>232</v>
      </c>
      <c r="G55">
        <v>8</v>
      </c>
      <c r="H55">
        <v>387.41182708830797</v>
      </c>
      <c r="I55">
        <v>9.342080011265E-4</v>
      </c>
      <c r="J55" s="1">
        <v>1503</v>
      </c>
      <c r="K55">
        <v>1</v>
      </c>
      <c r="L55">
        <v>458.27952521002197</v>
      </c>
      <c r="M55">
        <v>3.4212079990538001E-3</v>
      </c>
      <c r="N55" s="1">
        <v>400</v>
      </c>
      <c r="O55">
        <v>4</v>
      </c>
      <c r="P55">
        <v>396.58083365493002</v>
      </c>
      <c r="Q55">
        <v>9.0664708000076602E-2</v>
      </c>
      <c r="R55" t="e">
        <f t="shared" si="1"/>
        <v>#N/A</v>
      </c>
      <c r="S55" s="1"/>
      <c r="T55">
        <f t="shared" si="0"/>
        <v>0</v>
      </c>
    </row>
    <row r="56" spans="1:20" x14ac:dyDescent="0.25">
      <c r="A56" t="s">
        <v>9</v>
      </c>
      <c r="B56" t="s">
        <v>42</v>
      </c>
      <c r="C56" t="s">
        <v>13</v>
      </c>
      <c r="D56" t="s">
        <v>44</v>
      </c>
      <c r="E56" s="2">
        <v>71</v>
      </c>
      <c r="F56" s="1">
        <v>232</v>
      </c>
      <c r="G56">
        <v>8</v>
      </c>
      <c r="H56">
        <v>33.130250213412602</v>
      </c>
      <c r="I56">
        <v>1.0313750008208E-3</v>
      </c>
      <c r="J56" s="1">
        <v>120</v>
      </c>
      <c r="K56">
        <v>0</v>
      </c>
      <c r="L56">
        <v>6.1059345123766597</v>
      </c>
      <c r="M56">
        <v>3.732080003828E-4</v>
      </c>
      <c r="N56" s="1">
        <v>400</v>
      </c>
      <c r="O56">
        <v>1</v>
      </c>
      <c r="P56">
        <v>6.1059345123744198</v>
      </c>
      <c r="Q56">
        <v>3.1468041999687502E-2</v>
      </c>
      <c r="R56" t="e">
        <f t="shared" si="1"/>
        <v>#N/A</v>
      </c>
      <c r="S56" s="1"/>
      <c r="T56">
        <f t="shared" si="0"/>
        <v>0</v>
      </c>
    </row>
    <row r="57" spans="1:20" x14ac:dyDescent="0.25">
      <c r="A57" t="s">
        <v>9</v>
      </c>
      <c r="B57" t="s">
        <v>42</v>
      </c>
      <c r="C57" t="s">
        <v>11</v>
      </c>
      <c r="D57" t="s">
        <v>45</v>
      </c>
      <c r="E57" s="2">
        <v>71</v>
      </c>
      <c r="F57" s="1">
        <v>232</v>
      </c>
      <c r="G57">
        <v>8</v>
      </c>
      <c r="H57">
        <v>459.96076712762903</v>
      </c>
      <c r="I57">
        <v>9.7879199893209992E-4</v>
      </c>
      <c r="J57" s="1">
        <v>1167</v>
      </c>
      <c r="K57">
        <v>3</v>
      </c>
      <c r="L57">
        <v>509.03530897036501</v>
      </c>
      <c r="M57">
        <v>2.6698330002544999E-3</v>
      </c>
      <c r="N57" s="1">
        <v>400</v>
      </c>
      <c r="O57">
        <v>6</v>
      </c>
      <c r="P57">
        <v>464.482797689569</v>
      </c>
      <c r="Q57">
        <v>8.1516166999790501E-2</v>
      </c>
      <c r="R57" t="e">
        <f t="shared" si="1"/>
        <v>#N/A</v>
      </c>
      <c r="S57" s="1"/>
      <c r="T57">
        <f t="shared" si="0"/>
        <v>0</v>
      </c>
    </row>
    <row r="58" spans="1:20" x14ac:dyDescent="0.25">
      <c r="A58" t="s">
        <v>9</v>
      </c>
      <c r="B58" t="s">
        <v>42</v>
      </c>
      <c r="C58" t="s">
        <v>13</v>
      </c>
      <c r="D58" t="s">
        <v>45</v>
      </c>
      <c r="E58" s="2">
        <v>71</v>
      </c>
      <c r="F58" s="1">
        <v>232</v>
      </c>
      <c r="G58">
        <v>8</v>
      </c>
      <c r="H58">
        <v>60.886257111228602</v>
      </c>
      <c r="I58">
        <v>1.0450000008859E-3</v>
      </c>
      <c r="J58" s="1">
        <v>120</v>
      </c>
      <c r="K58">
        <v>0</v>
      </c>
      <c r="L58">
        <v>17.500498384772101</v>
      </c>
      <c r="M58">
        <v>3.7545800114449998E-4</v>
      </c>
      <c r="N58" s="1">
        <v>400</v>
      </c>
      <c r="O58">
        <v>1</v>
      </c>
      <c r="P58">
        <v>17.5004983847715</v>
      </c>
      <c r="Q58">
        <v>3.2420416000149999E-2</v>
      </c>
      <c r="R58" t="e">
        <f t="shared" si="1"/>
        <v>#N/A</v>
      </c>
      <c r="S58" s="1"/>
      <c r="T58">
        <f t="shared" si="0"/>
        <v>0</v>
      </c>
    </row>
    <row r="59" spans="1:20" x14ac:dyDescent="0.25">
      <c r="A59" t="s">
        <v>9</v>
      </c>
      <c r="B59" t="s">
        <v>42</v>
      </c>
      <c r="C59" t="s">
        <v>11</v>
      </c>
      <c r="D59" t="s">
        <v>46</v>
      </c>
      <c r="E59" s="2">
        <v>71</v>
      </c>
      <c r="F59" s="1">
        <v>232</v>
      </c>
      <c r="G59">
        <v>8</v>
      </c>
      <c r="H59">
        <v>540.53443981439204</v>
      </c>
      <c r="I59">
        <v>9.4416700085269995E-4</v>
      </c>
      <c r="J59" s="1">
        <v>1525</v>
      </c>
      <c r="K59">
        <v>2</v>
      </c>
      <c r="L59">
        <v>596.302177540564</v>
      </c>
      <c r="M59">
        <v>3.4311670005990002E-3</v>
      </c>
      <c r="N59" s="1">
        <v>400</v>
      </c>
      <c r="O59">
        <v>5</v>
      </c>
      <c r="P59">
        <v>581.64616476453205</v>
      </c>
      <c r="Q59">
        <v>9.2703209000319406E-2</v>
      </c>
      <c r="R59" t="e">
        <f t="shared" si="1"/>
        <v>#N/A</v>
      </c>
      <c r="S59" s="1"/>
      <c r="T59">
        <f t="shared" si="0"/>
        <v>0</v>
      </c>
    </row>
    <row r="60" spans="1:20" x14ac:dyDescent="0.25">
      <c r="A60" t="s">
        <v>9</v>
      </c>
      <c r="B60" t="s">
        <v>42</v>
      </c>
      <c r="C60" t="s">
        <v>13</v>
      </c>
      <c r="D60" t="s">
        <v>46</v>
      </c>
      <c r="E60" s="2">
        <v>71</v>
      </c>
      <c r="F60" s="1">
        <v>232</v>
      </c>
      <c r="G60">
        <v>8</v>
      </c>
      <c r="H60">
        <v>113.349495401045</v>
      </c>
      <c r="I60">
        <v>1.0385000005044001E-3</v>
      </c>
      <c r="J60" s="1">
        <v>120</v>
      </c>
      <c r="K60">
        <v>0</v>
      </c>
      <c r="L60">
        <v>15.938366781648799</v>
      </c>
      <c r="M60">
        <v>3.933340012736E-4</v>
      </c>
      <c r="N60" s="1">
        <v>400</v>
      </c>
      <c r="O60">
        <v>1</v>
      </c>
      <c r="P60">
        <v>15.938366781650499</v>
      </c>
      <c r="Q60">
        <v>3.1038916999932501E-2</v>
      </c>
      <c r="R60" t="e">
        <f t="shared" si="1"/>
        <v>#N/A</v>
      </c>
      <c r="S60" s="1"/>
      <c r="T60">
        <f t="shared" si="0"/>
        <v>0</v>
      </c>
    </row>
    <row r="61" spans="1:20" x14ac:dyDescent="0.25">
      <c r="A61" t="s">
        <v>9</v>
      </c>
      <c r="B61" t="s">
        <v>42</v>
      </c>
      <c r="C61" t="s">
        <v>11</v>
      </c>
      <c r="D61" t="s">
        <v>47</v>
      </c>
      <c r="E61" s="2">
        <v>120</v>
      </c>
      <c r="F61" s="1">
        <v>3043</v>
      </c>
      <c r="G61">
        <v>10</v>
      </c>
      <c r="H61">
        <v>1786.9845091484799</v>
      </c>
      <c r="I61">
        <v>1.3585499998953299E-2</v>
      </c>
      <c r="J61" s="1">
        <v>475</v>
      </c>
      <c r="K61">
        <v>0</v>
      </c>
      <c r="L61">
        <v>1819.1989045335499</v>
      </c>
      <c r="M61">
        <v>1.1531670006661001E-3</v>
      </c>
      <c r="N61" s="1">
        <v>400</v>
      </c>
      <c r="O61">
        <v>1</v>
      </c>
      <c r="P61">
        <v>1819.1989045335499</v>
      </c>
      <c r="Q61">
        <v>7.5487624999823297E-2</v>
      </c>
      <c r="R61" t="e">
        <f t="shared" si="1"/>
        <v>#N/A</v>
      </c>
      <c r="S61" s="1"/>
      <c r="T61">
        <f t="shared" si="0"/>
        <v>0</v>
      </c>
    </row>
    <row r="62" spans="1:20" x14ac:dyDescent="0.25">
      <c r="A62" t="s">
        <v>9</v>
      </c>
      <c r="B62" t="s">
        <v>42</v>
      </c>
      <c r="C62" t="s">
        <v>13</v>
      </c>
      <c r="D62" t="s">
        <v>47</v>
      </c>
      <c r="E62" s="2">
        <v>120</v>
      </c>
      <c r="F62" s="1">
        <v>3043</v>
      </c>
      <c r="G62">
        <v>10</v>
      </c>
      <c r="H62">
        <v>4000.3929917128598</v>
      </c>
      <c r="I62">
        <v>1.46728340005211E-2</v>
      </c>
      <c r="J62" s="1">
        <v>218</v>
      </c>
      <c r="K62">
        <v>0</v>
      </c>
      <c r="L62">
        <v>175.84147826557</v>
      </c>
      <c r="M62">
        <v>6.6449999940229999E-4</v>
      </c>
      <c r="N62" s="1">
        <v>400</v>
      </c>
      <c r="O62">
        <v>1</v>
      </c>
      <c r="P62">
        <v>175.84147826557</v>
      </c>
      <c r="Q62">
        <v>5.6404792000193903E-2</v>
      </c>
      <c r="R62" t="e">
        <f t="shared" si="1"/>
        <v>#N/A</v>
      </c>
      <c r="S62" s="1"/>
      <c r="T62">
        <f t="shared" si="0"/>
        <v>0</v>
      </c>
    </row>
    <row r="63" spans="1:20" x14ac:dyDescent="0.25">
      <c r="A63" t="s">
        <v>48</v>
      </c>
      <c r="B63" t="s">
        <v>49</v>
      </c>
      <c r="C63" t="s">
        <v>11</v>
      </c>
      <c r="D63" t="s">
        <v>50</v>
      </c>
      <c r="E63" s="2">
        <v>126</v>
      </c>
      <c r="F63" s="1">
        <v>3658</v>
      </c>
      <c r="G63">
        <v>10</v>
      </c>
      <c r="H63">
        <v>1189.48196931864</v>
      </c>
      <c r="I63">
        <v>1.75852499996835E-2</v>
      </c>
      <c r="J63" s="1">
        <v>4071</v>
      </c>
      <c r="K63">
        <v>2</v>
      </c>
      <c r="L63">
        <v>1371.61975136554</v>
      </c>
      <c r="M63">
        <v>9.2457089995150003E-3</v>
      </c>
      <c r="N63" s="1">
        <v>400</v>
      </c>
      <c r="O63">
        <v>11</v>
      </c>
      <c r="P63">
        <v>1196.2922916704499</v>
      </c>
      <c r="Q63">
        <v>0.28444370799979801</v>
      </c>
      <c r="R63" t="e">
        <f t="shared" si="1"/>
        <v>#N/A</v>
      </c>
      <c r="S63" s="1"/>
      <c r="T63">
        <f t="shared" si="0"/>
        <v>0</v>
      </c>
    </row>
    <row r="64" spans="1:20" x14ac:dyDescent="0.25">
      <c r="A64" t="s">
        <v>48</v>
      </c>
      <c r="B64" t="s">
        <v>49</v>
      </c>
      <c r="C64" t="s">
        <v>13</v>
      </c>
      <c r="D64" t="s">
        <v>50</v>
      </c>
      <c r="E64" s="2">
        <v>126</v>
      </c>
      <c r="F64" s="1">
        <v>3658</v>
      </c>
      <c r="G64">
        <v>10</v>
      </c>
      <c r="H64">
        <v>243.45017386389</v>
      </c>
      <c r="I64">
        <v>1.75187499989988E-2</v>
      </c>
      <c r="J64" s="1">
        <v>231</v>
      </c>
      <c r="K64">
        <v>4</v>
      </c>
      <c r="L64">
        <v>124.087143554593</v>
      </c>
      <c r="M64">
        <v>7.0791699909019995E-4</v>
      </c>
      <c r="N64" s="1">
        <v>400</v>
      </c>
      <c r="O64">
        <v>4</v>
      </c>
      <c r="P64">
        <v>150.75703693435599</v>
      </c>
      <c r="Q64">
        <v>0.18333408399985199</v>
      </c>
      <c r="R64" t="e">
        <f t="shared" si="1"/>
        <v>#N/A</v>
      </c>
      <c r="S64" s="1"/>
      <c r="T64">
        <f t="shared" si="0"/>
        <v>0</v>
      </c>
    </row>
    <row r="65" spans="1:20" x14ac:dyDescent="0.25">
      <c r="A65" t="s">
        <v>48</v>
      </c>
      <c r="B65" t="s">
        <v>49</v>
      </c>
      <c r="C65" t="s">
        <v>11</v>
      </c>
      <c r="D65" t="s">
        <v>51</v>
      </c>
      <c r="E65" s="2">
        <v>111</v>
      </c>
      <c r="F65" s="1">
        <v>2188</v>
      </c>
      <c r="G65">
        <v>10</v>
      </c>
      <c r="H65">
        <v>1300.28079069093</v>
      </c>
      <c r="I65">
        <v>9.5443329992121999E-3</v>
      </c>
      <c r="J65" s="1">
        <v>2647</v>
      </c>
      <c r="K65">
        <v>4</v>
      </c>
      <c r="L65">
        <v>1412.4797426438799</v>
      </c>
      <c r="M65">
        <v>5.9364999997342004E-3</v>
      </c>
      <c r="N65" s="1">
        <v>400</v>
      </c>
      <c r="O65">
        <v>8</v>
      </c>
      <c r="P65">
        <v>1375.9214917992999</v>
      </c>
      <c r="Q65">
        <v>0.21408041699987701</v>
      </c>
      <c r="R65" t="e">
        <f t="shared" si="1"/>
        <v>#N/A</v>
      </c>
      <c r="S65" s="1"/>
      <c r="T65">
        <f t="shared" si="0"/>
        <v>0</v>
      </c>
    </row>
    <row r="66" spans="1:20" x14ac:dyDescent="0.25">
      <c r="A66" t="s">
        <v>48</v>
      </c>
      <c r="B66" t="s">
        <v>49</v>
      </c>
      <c r="C66" t="s">
        <v>13</v>
      </c>
      <c r="D66" t="s">
        <v>51</v>
      </c>
      <c r="E66" s="2">
        <v>111</v>
      </c>
      <c r="F66" s="1">
        <v>2188</v>
      </c>
      <c r="G66">
        <v>10</v>
      </c>
      <c r="H66">
        <v>1280.03027432115</v>
      </c>
      <c r="I66">
        <v>1.00625830000353E-2</v>
      </c>
      <c r="J66" s="1">
        <v>200</v>
      </c>
      <c r="K66">
        <v>0</v>
      </c>
      <c r="L66">
        <v>418.16057244954999</v>
      </c>
      <c r="M66">
        <v>6.2612500005340005E-4</v>
      </c>
      <c r="N66" s="1">
        <v>400</v>
      </c>
      <c r="O66">
        <v>4</v>
      </c>
      <c r="P66">
        <v>1031.5486451408201</v>
      </c>
      <c r="Q66">
        <v>0.152203542000279</v>
      </c>
      <c r="R66" t="e">
        <f t="shared" si="1"/>
        <v>#N/A</v>
      </c>
      <c r="S66" s="1"/>
      <c r="T66">
        <f t="shared" si="0"/>
        <v>0</v>
      </c>
    </row>
    <row r="67" spans="1:20" x14ac:dyDescent="0.25">
      <c r="A67" t="s">
        <v>48</v>
      </c>
      <c r="B67" t="s">
        <v>49</v>
      </c>
      <c r="C67" t="s">
        <v>11</v>
      </c>
      <c r="D67" t="s">
        <v>52</v>
      </c>
      <c r="E67" s="2">
        <v>115</v>
      </c>
      <c r="F67" s="1">
        <v>2558</v>
      </c>
      <c r="G67">
        <v>10</v>
      </c>
      <c r="H67">
        <v>931.723500984363</v>
      </c>
      <c r="I67">
        <v>1.10621669991815E-2</v>
      </c>
      <c r="J67" s="1">
        <v>2394</v>
      </c>
      <c r="K67">
        <v>1</v>
      </c>
      <c r="L67">
        <v>985.39166772190197</v>
      </c>
      <c r="M67">
        <v>5.3026669993413997E-3</v>
      </c>
      <c r="N67" s="1">
        <v>400</v>
      </c>
      <c r="O67">
        <v>5</v>
      </c>
      <c r="P67">
        <v>958.25285532728606</v>
      </c>
      <c r="Q67">
        <v>0.158123624999916</v>
      </c>
      <c r="R67" t="e">
        <f t="shared" si="1"/>
        <v>#N/A</v>
      </c>
      <c r="S67" s="1"/>
      <c r="T67">
        <f t="shared" ref="T67:T130" si="2">IF(G67=K67,1,0)</f>
        <v>0</v>
      </c>
    </row>
    <row r="68" spans="1:20" x14ac:dyDescent="0.25">
      <c r="A68" t="s">
        <v>48</v>
      </c>
      <c r="B68" t="s">
        <v>49</v>
      </c>
      <c r="C68" t="s">
        <v>13</v>
      </c>
      <c r="D68" t="s">
        <v>52</v>
      </c>
      <c r="E68" s="2">
        <v>115</v>
      </c>
      <c r="F68" s="1">
        <v>2558</v>
      </c>
      <c r="G68">
        <v>10</v>
      </c>
      <c r="H68">
        <v>139.339677348127</v>
      </c>
      <c r="I68">
        <v>1.1937458000829701E-2</v>
      </c>
      <c r="J68" s="1">
        <v>208</v>
      </c>
      <c r="K68">
        <v>0</v>
      </c>
      <c r="L68">
        <v>9.5227543280621294</v>
      </c>
      <c r="M68">
        <v>6.3308400058300002E-4</v>
      </c>
      <c r="N68" s="1">
        <v>400</v>
      </c>
      <c r="O68">
        <v>1</v>
      </c>
      <c r="P68">
        <v>9.5227543280357594</v>
      </c>
      <c r="Q68">
        <v>5.2448833000198598E-2</v>
      </c>
      <c r="R68" t="e">
        <f t="shared" ref="R68:R131" si="3">IF(O68=G68,(P68-H68)/H68,NA())</f>
        <v>#N/A</v>
      </c>
      <c r="S68" s="1"/>
      <c r="T68">
        <f t="shared" si="2"/>
        <v>0</v>
      </c>
    </row>
    <row r="69" spans="1:20" x14ac:dyDescent="0.25">
      <c r="A69" t="s">
        <v>48</v>
      </c>
      <c r="B69" t="s">
        <v>49</v>
      </c>
      <c r="C69" t="s">
        <v>11</v>
      </c>
      <c r="D69" t="s">
        <v>53</v>
      </c>
      <c r="E69" s="2">
        <v>122</v>
      </c>
      <c r="F69" s="1">
        <v>3244</v>
      </c>
      <c r="G69">
        <v>10</v>
      </c>
      <c r="H69">
        <v>1238.03234706644</v>
      </c>
      <c r="I69">
        <v>1.46065000008093E-2</v>
      </c>
      <c r="J69" s="1">
        <v>2478</v>
      </c>
      <c r="K69">
        <v>3</v>
      </c>
      <c r="L69">
        <v>1401.69122069022</v>
      </c>
      <c r="M69">
        <v>5.6899169994721003E-3</v>
      </c>
      <c r="N69" s="1">
        <v>400</v>
      </c>
      <c r="O69">
        <v>9</v>
      </c>
      <c r="P69">
        <v>1305.0818163065701</v>
      </c>
      <c r="Q69">
        <v>0.19659437500013099</v>
      </c>
      <c r="R69" t="e">
        <f t="shared" si="3"/>
        <v>#N/A</v>
      </c>
      <c r="S69" s="1"/>
      <c r="T69">
        <f t="shared" si="2"/>
        <v>0</v>
      </c>
    </row>
    <row r="70" spans="1:20" x14ac:dyDescent="0.25">
      <c r="A70" t="s">
        <v>48</v>
      </c>
      <c r="B70" t="s">
        <v>49</v>
      </c>
      <c r="C70" t="s">
        <v>13</v>
      </c>
      <c r="D70" t="s">
        <v>53</v>
      </c>
      <c r="E70" s="2">
        <v>122</v>
      </c>
      <c r="F70" s="1">
        <v>3244</v>
      </c>
      <c r="G70">
        <v>10</v>
      </c>
      <c r="H70">
        <v>411.48273921183198</v>
      </c>
      <c r="I70">
        <v>1.5521541999987599E-2</v>
      </c>
      <c r="J70" s="1">
        <v>222</v>
      </c>
      <c r="K70">
        <v>2</v>
      </c>
      <c r="L70">
        <v>160.28592989290999</v>
      </c>
      <c r="M70">
        <v>6.8883399944750004E-4</v>
      </c>
      <c r="N70" s="1">
        <v>400</v>
      </c>
      <c r="O70">
        <v>5</v>
      </c>
      <c r="P70">
        <v>330.49641326308603</v>
      </c>
      <c r="Q70">
        <v>0.14848445899997301</v>
      </c>
      <c r="R70" t="e">
        <f t="shared" si="3"/>
        <v>#N/A</v>
      </c>
      <c r="S70" s="1"/>
      <c r="T70">
        <f t="shared" si="2"/>
        <v>0</v>
      </c>
    </row>
    <row r="71" spans="1:20" x14ac:dyDescent="0.25">
      <c r="A71" t="s">
        <v>48</v>
      </c>
      <c r="B71" t="s">
        <v>49</v>
      </c>
      <c r="C71" t="s">
        <v>11</v>
      </c>
      <c r="D71" t="s">
        <v>54</v>
      </c>
      <c r="E71" s="2">
        <v>735</v>
      </c>
      <c r="F71" s="1">
        <v>253348</v>
      </c>
      <c r="G71">
        <v>10</v>
      </c>
      <c r="H71">
        <v>5440.7021329514901</v>
      </c>
      <c r="I71">
        <v>2.48874450000039</v>
      </c>
      <c r="J71" s="1">
        <v>22120</v>
      </c>
      <c r="K71">
        <v>25</v>
      </c>
      <c r="L71">
        <v>4440.2728923094701</v>
      </c>
      <c r="M71">
        <v>5.5187291000038302E-2</v>
      </c>
      <c r="N71" s="1">
        <v>400</v>
      </c>
      <c r="O71">
        <v>55</v>
      </c>
      <c r="P71">
        <v>3963.7235949573501</v>
      </c>
      <c r="Q71">
        <v>2.9134759580001601</v>
      </c>
      <c r="R71" t="e">
        <f t="shared" si="3"/>
        <v>#N/A</v>
      </c>
      <c r="S71" s="1"/>
      <c r="T71">
        <f t="shared" si="2"/>
        <v>0</v>
      </c>
    </row>
    <row r="72" spans="1:20" x14ac:dyDescent="0.25">
      <c r="A72" t="s">
        <v>48</v>
      </c>
      <c r="B72" t="s">
        <v>49</v>
      </c>
      <c r="C72" t="s">
        <v>13</v>
      </c>
      <c r="D72" t="s">
        <v>54</v>
      </c>
      <c r="E72" s="2">
        <v>735</v>
      </c>
      <c r="F72" s="1">
        <v>253348</v>
      </c>
      <c r="G72">
        <v>10</v>
      </c>
      <c r="H72">
        <v>27.6105030652989</v>
      </c>
      <c r="I72">
        <v>2.6532067499992902</v>
      </c>
      <c r="J72" s="1">
        <v>1455</v>
      </c>
      <c r="K72">
        <v>15</v>
      </c>
      <c r="L72">
        <v>51.859168811490903</v>
      </c>
      <c r="M72">
        <v>4.5707910012423997E-3</v>
      </c>
      <c r="N72" s="1">
        <v>400</v>
      </c>
      <c r="O72">
        <v>2</v>
      </c>
      <c r="P72">
        <v>16.951850113484301</v>
      </c>
      <c r="Q72">
        <v>0.71025987499979204</v>
      </c>
      <c r="R72" t="e">
        <f t="shared" si="3"/>
        <v>#N/A</v>
      </c>
      <c r="S72" s="1"/>
      <c r="T72">
        <f t="shared" si="2"/>
        <v>0</v>
      </c>
    </row>
    <row r="73" spans="1:20" x14ac:dyDescent="0.25">
      <c r="A73" t="s">
        <v>48</v>
      </c>
      <c r="B73" t="s">
        <v>55</v>
      </c>
      <c r="C73" t="s">
        <v>11</v>
      </c>
      <c r="D73" t="s">
        <v>56</v>
      </c>
      <c r="E73" s="2">
        <v>136</v>
      </c>
      <c r="F73" s="1">
        <v>4763</v>
      </c>
      <c r="G73">
        <v>10</v>
      </c>
      <c r="H73">
        <v>1327.73514340783</v>
      </c>
      <c r="I73">
        <v>2.3380915999950899E-2</v>
      </c>
      <c r="J73" s="1">
        <v>3083</v>
      </c>
      <c r="K73">
        <v>3</v>
      </c>
      <c r="L73">
        <v>1415.3597817375601</v>
      </c>
      <c r="M73">
        <v>7.0712079996155001E-3</v>
      </c>
      <c r="N73" s="1">
        <v>400</v>
      </c>
      <c r="O73">
        <v>10</v>
      </c>
      <c r="P73">
        <v>1345.8224238970799</v>
      </c>
      <c r="Q73">
        <v>0.25321458300004401</v>
      </c>
      <c r="R73">
        <f t="shared" si="3"/>
        <v>1.3622657032957798E-2</v>
      </c>
      <c r="S73" s="1"/>
      <c r="T73">
        <f t="shared" si="2"/>
        <v>0</v>
      </c>
    </row>
    <row r="74" spans="1:20" x14ac:dyDescent="0.25">
      <c r="A74" t="s">
        <v>48</v>
      </c>
      <c r="B74" t="s">
        <v>55</v>
      </c>
      <c r="C74" t="s">
        <v>13</v>
      </c>
      <c r="D74" t="s">
        <v>56</v>
      </c>
      <c r="E74" s="2">
        <v>136</v>
      </c>
      <c r="F74" s="1">
        <v>4763</v>
      </c>
      <c r="G74">
        <v>10</v>
      </c>
      <c r="H74">
        <v>278.01964572696102</v>
      </c>
      <c r="I74">
        <v>2.36000830009288E-2</v>
      </c>
      <c r="J74" s="1">
        <v>250</v>
      </c>
      <c r="K74">
        <v>0</v>
      </c>
      <c r="L74">
        <v>47.766076107605699</v>
      </c>
      <c r="M74">
        <v>7.5141600063939997E-4</v>
      </c>
      <c r="N74" s="1">
        <v>400</v>
      </c>
      <c r="O74">
        <v>1</v>
      </c>
      <c r="P74">
        <v>47.766076107605699</v>
      </c>
      <c r="Q74">
        <v>6.4283041999715296E-2</v>
      </c>
      <c r="R74" t="e">
        <f t="shared" si="3"/>
        <v>#N/A</v>
      </c>
      <c r="S74" s="1"/>
      <c r="T74">
        <f t="shared" si="2"/>
        <v>0</v>
      </c>
    </row>
    <row r="75" spans="1:20" x14ac:dyDescent="0.25">
      <c r="A75" t="s">
        <v>48</v>
      </c>
      <c r="B75" t="s">
        <v>55</v>
      </c>
      <c r="C75" t="s">
        <v>11</v>
      </c>
      <c r="D75" t="s">
        <v>57</v>
      </c>
      <c r="E75" s="2">
        <v>116</v>
      </c>
      <c r="F75" s="1">
        <v>2653</v>
      </c>
      <c r="G75">
        <v>10</v>
      </c>
      <c r="H75">
        <v>518.34831617008797</v>
      </c>
      <c r="I75">
        <v>1.1779959000705199E-2</v>
      </c>
      <c r="J75" s="1">
        <v>2063</v>
      </c>
      <c r="K75">
        <v>4</v>
      </c>
      <c r="L75">
        <v>668.45667378733106</v>
      </c>
      <c r="M75">
        <v>4.7998749996622002E-3</v>
      </c>
      <c r="N75" s="1">
        <v>400</v>
      </c>
      <c r="O75">
        <v>9</v>
      </c>
      <c r="P75">
        <v>601.120202069426</v>
      </c>
      <c r="Q75">
        <v>0.18443308299993</v>
      </c>
      <c r="R75" t="e">
        <f t="shared" si="3"/>
        <v>#N/A</v>
      </c>
      <c r="S75" s="1"/>
      <c r="T75">
        <f t="shared" si="2"/>
        <v>0</v>
      </c>
    </row>
    <row r="76" spans="1:20" x14ac:dyDescent="0.25">
      <c r="A76" t="s">
        <v>48</v>
      </c>
      <c r="B76" t="s">
        <v>55</v>
      </c>
      <c r="C76" t="s">
        <v>13</v>
      </c>
      <c r="D76" t="s">
        <v>57</v>
      </c>
      <c r="E76" s="2">
        <v>116</v>
      </c>
      <c r="F76" s="1">
        <v>2653</v>
      </c>
      <c r="G76">
        <v>10</v>
      </c>
      <c r="H76">
        <v>37.780207245815397</v>
      </c>
      <c r="I76">
        <v>1.2403624999933501E-2</v>
      </c>
      <c r="J76" s="1">
        <v>212</v>
      </c>
      <c r="K76">
        <v>6</v>
      </c>
      <c r="L76">
        <v>50.434940462628198</v>
      </c>
      <c r="M76">
        <v>6.5466700107199996E-4</v>
      </c>
      <c r="N76" s="1">
        <v>400</v>
      </c>
      <c r="O76">
        <v>3</v>
      </c>
      <c r="P76">
        <v>39.416464198626997</v>
      </c>
      <c r="Q76">
        <v>0.117447874999925</v>
      </c>
      <c r="R76" t="e">
        <f t="shared" si="3"/>
        <v>#N/A</v>
      </c>
      <c r="S76" s="1"/>
      <c r="T76">
        <f t="shared" si="2"/>
        <v>0</v>
      </c>
    </row>
    <row r="77" spans="1:20" x14ac:dyDescent="0.25">
      <c r="A77" t="s">
        <v>48</v>
      </c>
      <c r="B77" t="s">
        <v>55</v>
      </c>
      <c r="C77" t="s">
        <v>11</v>
      </c>
      <c r="D77" t="s">
        <v>58</v>
      </c>
      <c r="E77" s="2">
        <v>123</v>
      </c>
      <c r="F77" s="1">
        <v>3346</v>
      </c>
      <c r="G77">
        <v>10</v>
      </c>
      <c r="H77">
        <v>1335.6099523795999</v>
      </c>
      <c r="I77">
        <v>1.7157791999125E-2</v>
      </c>
      <c r="J77" s="1">
        <v>2116</v>
      </c>
      <c r="K77">
        <v>5</v>
      </c>
      <c r="L77">
        <v>1461.7521017951999</v>
      </c>
      <c r="M77">
        <v>4.7672919990872998E-3</v>
      </c>
      <c r="N77" s="1">
        <v>400</v>
      </c>
      <c r="O77">
        <v>11</v>
      </c>
      <c r="P77">
        <v>1329.1768687296501</v>
      </c>
      <c r="Q77">
        <v>0.20745704199998699</v>
      </c>
      <c r="R77" t="e">
        <f t="shared" si="3"/>
        <v>#N/A</v>
      </c>
      <c r="S77" s="1"/>
      <c r="T77">
        <f t="shared" si="2"/>
        <v>0</v>
      </c>
    </row>
    <row r="78" spans="1:20" x14ac:dyDescent="0.25">
      <c r="A78" t="s">
        <v>48</v>
      </c>
      <c r="B78" t="s">
        <v>55</v>
      </c>
      <c r="C78" t="s">
        <v>13</v>
      </c>
      <c r="D78" t="s">
        <v>58</v>
      </c>
      <c r="E78" s="2">
        <v>123</v>
      </c>
      <c r="F78" s="1">
        <v>3346</v>
      </c>
      <c r="G78">
        <v>10</v>
      </c>
      <c r="H78">
        <v>781.14457615011997</v>
      </c>
      <c r="I78">
        <v>1.5989916999387701E-2</v>
      </c>
      <c r="J78" s="1">
        <v>224</v>
      </c>
      <c r="K78">
        <v>4</v>
      </c>
      <c r="L78">
        <v>546.70127664785105</v>
      </c>
      <c r="M78">
        <v>7.0254099955489998E-4</v>
      </c>
      <c r="N78" s="1">
        <v>400</v>
      </c>
      <c r="O78">
        <v>7</v>
      </c>
      <c r="P78">
        <v>912.06545788685105</v>
      </c>
      <c r="Q78">
        <v>0.15224995800008401</v>
      </c>
      <c r="R78" t="e">
        <f t="shared" si="3"/>
        <v>#N/A</v>
      </c>
      <c r="S78" s="1"/>
      <c r="T78">
        <f t="shared" si="2"/>
        <v>0</v>
      </c>
    </row>
    <row r="79" spans="1:20" x14ac:dyDescent="0.25">
      <c r="A79" t="s">
        <v>48</v>
      </c>
      <c r="B79" t="s">
        <v>55</v>
      </c>
      <c r="C79" t="s">
        <v>11</v>
      </c>
      <c r="D79" t="s">
        <v>59</v>
      </c>
      <c r="E79" s="2">
        <v>117</v>
      </c>
      <c r="F79" s="1">
        <v>2749</v>
      </c>
      <c r="G79">
        <v>10</v>
      </c>
      <c r="H79">
        <v>690.47822581320702</v>
      </c>
      <c r="I79">
        <v>1.21261250005773E-2</v>
      </c>
      <c r="J79" s="1">
        <v>2674</v>
      </c>
      <c r="K79">
        <v>2</v>
      </c>
      <c r="L79">
        <v>813.83722281161795</v>
      </c>
      <c r="M79">
        <v>6.1164580001786002E-3</v>
      </c>
      <c r="N79" s="1">
        <v>400</v>
      </c>
      <c r="O79">
        <v>7</v>
      </c>
      <c r="P79">
        <v>716.12168373569898</v>
      </c>
      <c r="Q79">
        <v>0.190566042000227</v>
      </c>
      <c r="R79" t="e">
        <f t="shared" si="3"/>
        <v>#N/A</v>
      </c>
      <c r="S79" s="1"/>
      <c r="T79">
        <f t="shared" si="2"/>
        <v>0</v>
      </c>
    </row>
    <row r="80" spans="1:20" x14ac:dyDescent="0.25">
      <c r="A80" t="s">
        <v>48</v>
      </c>
      <c r="B80" t="s">
        <v>55</v>
      </c>
      <c r="C80" t="s">
        <v>13</v>
      </c>
      <c r="D80" t="s">
        <v>59</v>
      </c>
      <c r="E80" s="2">
        <v>117</v>
      </c>
      <c r="F80" s="1">
        <v>2749</v>
      </c>
      <c r="G80">
        <v>10</v>
      </c>
      <c r="H80">
        <v>46.984978331236299</v>
      </c>
      <c r="I80">
        <v>1.27968750002764E-2</v>
      </c>
      <c r="J80" s="1">
        <v>212</v>
      </c>
      <c r="K80">
        <v>0</v>
      </c>
      <c r="L80">
        <v>10.855460221071199</v>
      </c>
      <c r="M80">
        <v>6.3795799906070003E-4</v>
      </c>
      <c r="N80" s="1">
        <v>400</v>
      </c>
      <c r="O80">
        <v>1</v>
      </c>
      <c r="P80">
        <v>10.855460221071599</v>
      </c>
      <c r="Q80">
        <v>5.42672500000662E-2</v>
      </c>
      <c r="R80" t="e">
        <f t="shared" si="3"/>
        <v>#N/A</v>
      </c>
      <c r="S80" s="1"/>
      <c r="T80">
        <f t="shared" si="2"/>
        <v>0</v>
      </c>
    </row>
    <row r="81" spans="1:20" x14ac:dyDescent="0.25">
      <c r="A81" t="s">
        <v>48</v>
      </c>
      <c r="B81" t="s">
        <v>55</v>
      </c>
      <c r="C81" t="s">
        <v>11</v>
      </c>
      <c r="D81" t="s">
        <v>60</v>
      </c>
      <c r="E81" s="2">
        <v>738</v>
      </c>
      <c r="F81" s="1">
        <v>255496</v>
      </c>
      <c r="G81">
        <v>10</v>
      </c>
      <c r="H81">
        <v>6334.8321570067501</v>
      </c>
      <c r="I81">
        <v>2.5048156669999999</v>
      </c>
      <c r="J81" s="1">
        <v>30032</v>
      </c>
      <c r="K81">
        <v>16</v>
      </c>
      <c r="L81">
        <v>5857.1387548229204</v>
      </c>
      <c r="M81">
        <v>7.1511624999402501E-2</v>
      </c>
      <c r="N81" s="1">
        <v>400</v>
      </c>
      <c r="O81">
        <v>56</v>
      </c>
      <c r="P81">
        <v>5207.1798242390596</v>
      </c>
      <c r="Q81">
        <v>2.69349258300007</v>
      </c>
      <c r="R81" t="e">
        <f t="shared" si="3"/>
        <v>#N/A</v>
      </c>
      <c r="S81" s="1"/>
      <c r="T81">
        <f t="shared" si="2"/>
        <v>0</v>
      </c>
    </row>
    <row r="82" spans="1:20" x14ac:dyDescent="0.25">
      <c r="A82" t="s">
        <v>48</v>
      </c>
      <c r="B82" t="s">
        <v>55</v>
      </c>
      <c r="C82" t="s">
        <v>13</v>
      </c>
      <c r="D82" t="s">
        <v>60</v>
      </c>
      <c r="E82" s="2">
        <v>738</v>
      </c>
      <c r="F82" s="1">
        <v>255496</v>
      </c>
      <c r="G82">
        <v>10</v>
      </c>
      <c r="H82">
        <v>46.950659417740503</v>
      </c>
      <c r="I82">
        <v>2.61326641699997</v>
      </c>
      <c r="J82" s="1">
        <v>1454</v>
      </c>
      <c r="K82">
        <v>0</v>
      </c>
      <c r="L82">
        <v>25.176102248208199</v>
      </c>
      <c r="M82">
        <v>4.4033329995727E-3</v>
      </c>
      <c r="N82" s="1">
        <v>400</v>
      </c>
      <c r="O82">
        <v>2</v>
      </c>
      <c r="P82">
        <v>42.585251652796302</v>
      </c>
      <c r="Q82">
        <v>0.73086650000004705</v>
      </c>
      <c r="R82" t="e">
        <f t="shared" si="3"/>
        <v>#N/A</v>
      </c>
      <c r="S82" s="1"/>
      <c r="T82">
        <f t="shared" si="2"/>
        <v>0</v>
      </c>
    </row>
    <row r="83" spans="1:20" x14ac:dyDescent="0.25">
      <c r="A83" t="s">
        <v>48</v>
      </c>
      <c r="B83" t="s">
        <v>61</v>
      </c>
      <c r="C83" t="s">
        <v>11</v>
      </c>
      <c r="D83" t="s">
        <v>62</v>
      </c>
      <c r="E83" s="2">
        <v>162</v>
      </c>
      <c r="F83" s="1">
        <v>8104</v>
      </c>
      <c r="G83">
        <v>10</v>
      </c>
      <c r="H83">
        <v>1298.74977702859</v>
      </c>
      <c r="I83">
        <v>4.1746083999896599E-2</v>
      </c>
      <c r="J83" s="1">
        <v>5477</v>
      </c>
      <c r="K83">
        <v>4</v>
      </c>
      <c r="L83">
        <v>1417.4123663767</v>
      </c>
      <c r="M83">
        <v>1.26722090008115E-2</v>
      </c>
      <c r="N83" s="1">
        <v>400</v>
      </c>
      <c r="O83">
        <v>9</v>
      </c>
      <c r="P83">
        <v>1345.46760113249</v>
      </c>
      <c r="Q83">
        <v>0.36215595900011899</v>
      </c>
      <c r="R83" t="e">
        <f t="shared" si="3"/>
        <v>#N/A</v>
      </c>
      <c r="S83" s="1"/>
      <c r="T83">
        <f t="shared" si="2"/>
        <v>0</v>
      </c>
    </row>
    <row r="84" spans="1:20" x14ac:dyDescent="0.25">
      <c r="A84" t="s">
        <v>48</v>
      </c>
      <c r="B84" t="s">
        <v>61</v>
      </c>
      <c r="C84" t="s">
        <v>13</v>
      </c>
      <c r="D84" t="s">
        <v>62</v>
      </c>
      <c r="E84" s="2">
        <v>162</v>
      </c>
      <c r="F84" s="1">
        <v>8104</v>
      </c>
      <c r="G84">
        <v>10</v>
      </c>
      <c r="H84">
        <v>98.178665337066406</v>
      </c>
      <c r="I84">
        <v>4.3787542001154998E-2</v>
      </c>
      <c r="J84" s="1">
        <v>303</v>
      </c>
      <c r="K84">
        <v>1</v>
      </c>
      <c r="L84">
        <v>43.455069017886203</v>
      </c>
      <c r="M84">
        <v>9.2241699894649997E-4</v>
      </c>
      <c r="N84" s="1">
        <v>400</v>
      </c>
      <c r="O84">
        <v>2</v>
      </c>
      <c r="P84">
        <v>35.2057406919469</v>
      </c>
      <c r="Q84">
        <v>0.14835104200028501</v>
      </c>
      <c r="R84" t="e">
        <f t="shared" si="3"/>
        <v>#N/A</v>
      </c>
      <c r="S84" s="1"/>
      <c r="T84">
        <f t="shared" si="2"/>
        <v>0</v>
      </c>
    </row>
    <row r="85" spans="1:20" x14ac:dyDescent="0.25">
      <c r="A85" t="s">
        <v>48</v>
      </c>
      <c r="B85" t="s">
        <v>61</v>
      </c>
      <c r="C85" t="s">
        <v>11</v>
      </c>
      <c r="D85" t="s">
        <v>63</v>
      </c>
      <c r="E85" s="2">
        <v>122</v>
      </c>
      <c r="F85" s="1">
        <v>3244</v>
      </c>
      <c r="G85">
        <v>10</v>
      </c>
      <c r="H85">
        <v>965.12750272286098</v>
      </c>
      <c r="I85">
        <v>1.44393330010643E-2</v>
      </c>
      <c r="J85" s="1">
        <v>2024</v>
      </c>
      <c r="K85">
        <v>5</v>
      </c>
      <c r="L85">
        <v>1059.57164559994</v>
      </c>
      <c r="M85">
        <v>4.6762500005569996E-3</v>
      </c>
      <c r="N85" s="1">
        <v>400</v>
      </c>
      <c r="O85">
        <v>10</v>
      </c>
      <c r="P85">
        <v>994.32620874364295</v>
      </c>
      <c r="Q85">
        <v>0.189811333000307</v>
      </c>
      <c r="R85">
        <f t="shared" si="3"/>
        <v>3.0253729106677896E-2</v>
      </c>
      <c r="S85" s="1"/>
      <c r="T85">
        <f t="shared" si="2"/>
        <v>0</v>
      </c>
    </row>
    <row r="86" spans="1:20" x14ac:dyDescent="0.25">
      <c r="A86" t="s">
        <v>48</v>
      </c>
      <c r="B86" t="s">
        <v>61</v>
      </c>
      <c r="C86" t="s">
        <v>13</v>
      </c>
      <c r="D86" t="s">
        <v>63</v>
      </c>
      <c r="E86" s="2">
        <v>122</v>
      </c>
      <c r="F86" s="1">
        <v>3244</v>
      </c>
      <c r="G86">
        <v>10</v>
      </c>
      <c r="H86">
        <v>133.33143692173601</v>
      </c>
      <c r="I86">
        <v>1.53465830007917E-2</v>
      </c>
      <c r="J86" s="1">
        <v>222</v>
      </c>
      <c r="K86">
        <v>4</v>
      </c>
      <c r="L86">
        <v>88.469596112994793</v>
      </c>
      <c r="M86">
        <v>7.0929100002100004E-4</v>
      </c>
      <c r="N86" s="1">
        <v>400</v>
      </c>
      <c r="O86">
        <v>5</v>
      </c>
      <c r="P86">
        <v>127.208106478768</v>
      </c>
      <c r="Q86">
        <v>0.14625358300008801</v>
      </c>
      <c r="R86" t="e">
        <f t="shared" si="3"/>
        <v>#N/A</v>
      </c>
      <c r="S86" s="1"/>
      <c r="T86">
        <f t="shared" si="2"/>
        <v>0</v>
      </c>
    </row>
    <row r="87" spans="1:20" x14ac:dyDescent="0.25">
      <c r="A87" t="s">
        <v>48</v>
      </c>
      <c r="B87" t="s">
        <v>61</v>
      </c>
      <c r="C87" t="s">
        <v>11</v>
      </c>
      <c r="D87" t="s">
        <v>64</v>
      </c>
      <c r="E87" s="2">
        <v>118</v>
      </c>
      <c r="F87" s="1">
        <v>2846</v>
      </c>
      <c r="G87">
        <v>10</v>
      </c>
      <c r="H87">
        <v>1615.66433617185</v>
      </c>
      <c r="I87">
        <v>1.2730582999210999E-2</v>
      </c>
      <c r="J87" s="1">
        <v>769</v>
      </c>
      <c r="K87">
        <v>0</v>
      </c>
      <c r="L87">
        <v>1634.5698089182299</v>
      </c>
      <c r="M87">
        <v>1.775415999873E-3</v>
      </c>
      <c r="N87" s="1">
        <v>400</v>
      </c>
      <c r="O87">
        <v>2</v>
      </c>
      <c r="P87">
        <v>1615.14548495494</v>
      </c>
      <c r="Q87">
        <v>0.131512166999982</v>
      </c>
      <c r="R87" t="e">
        <f t="shared" si="3"/>
        <v>#N/A</v>
      </c>
      <c r="S87" s="1"/>
      <c r="T87">
        <f t="shared" si="2"/>
        <v>0</v>
      </c>
    </row>
    <row r="88" spans="1:20" x14ac:dyDescent="0.25">
      <c r="A88" t="s">
        <v>48</v>
      </c>
      <c r="B88" t="s">
        <v>61</v>
      </c>
      <c r="C88" t="s">
        <v>13</v>
      </c>
      <c r="D88" t="s">
        <v>64</v>
      </c>
      <c r="E88" s="2">
        <v>118</v>
      </c>
      <c r="F88" s="1">
        <v>2846</v>
      </c>
      <c r="G88">
        <v>10</v>
      </c>
      <c r="H88">
        <v>2126.2918803257098</v>
      </c>
      <c r="I88">
        <v>1.32818749989382E-2</v>
      </c>
      <c r="J88" s="1">
        <v>214</v>
      </c>
      <c r="K88">
        <v>0</v>
      </c>
      <c r="L88">
        <v>92.190011850326599</v>
      </c>
      <c r="M88">
        <v>6.4641599965390003E-4</v>
      </c>
      <c r="N88" s="1">
        <v>400</v>
      </c>
      <c r="O88">
        <v>1</v>
      </c>
      <c r="P88">
        <v>92.190011850326997</v>
      </c>
      <c r="Q88">
        <v>5.4346875000192002E-2</v>
      </c>
      <c r="R88" t="e">
        <f t="shared" si="3"/>
        <v>#N/A</v>
      </c>
      <c r="S88" s="1"/>
      <c r="T88">
        <f t="shared" si="2"/>
        <v>0</v>
      </c>
    </row>
    <row r="89" spans="1:20" x14ac:dyDescent="0.25">
      <c r="A89" t="s">
        <v>48</v>
      </c>
      <c r="B89" t="s">
        <v>61</v>
      </c>
      <c r="C89" t="s">
        <v>11</v>
      </c>
      <c r="D89" t="s">
        <v>65</v>
      </c>
      <c r="E89" s="2">
        <v>153</v>
      </c>
      <c r="F89" s="1">
        <v>6871</v>
      </c>
      <c r="G89">
        <v>10</v>
      </c>
      <c r="H89">
        <v>1693.43957576093</v>
      </c>
      <c r="I89">
        <v>3.3439708000514601E-2</v>
      </c>
      <c r="J89" s="1">
        <v>4371</v>
      </c>
      <c r="K89">
        <v>3</v>
      </c>
      <c r="L89">
        <v>1848.80154283243</v>
      </c>
      <c r="M89">
        <v>1.0029082999608301E-2</v>
      </c>
      <c r="N89" s="1">
        <v>400</v>
      </c>
      <c r="O89">
        <v>12</v>
      </c>
      <c r="P89">
        <v>1676.8048763280599</v>
      </c>
      <c r="Q89">
        <v>0.304965208999874</v>
      </c>
      <c r="R89" t="e">
        <f t="shared" si="3"/>
        <v>#N/A</v>
      </c>
      <c r="S89" s="1"/>
      <c r="T89">
        <f t="shared" si="2"/>
        <v>0</v>
      </c>
    </row>
    <row r="90" spans="1:20" x14ac:dyDescent="0.25">
      <c r="A90" t="s">
        <v>48</v>
      </c>
      <c r="B90" t="s">
        <v>61</v>
      </c>
      <c r="C90" t="s">
        <v>13</v>
      </c>
      <c r="D90" t="s">
        <v>65</v>
      </c>
      <c r="E90" s="2">
        <v>153</v>
      </c>
      <c r="F90" s="1">
        <v>6871</v>
      </c>
      <c r="G90">
        <v>10</v>
      </c>
      <c r="H90">
        <v>601.24608871710302</v>
      </c>
      <c r="I90">
        <v>3.6575750000338303E-2</v>
      </c>
      <c r="J90" s="1">
        <v>284</v>
      </c>
      <c r="K90">
        <v>0</v>
      </c>
      <c r="L90">
        <v>344.14980110208199</v>
      </c>
      <c r="M90">
        <v>8.4733299991050001E-4</v>
      </c>
      <c r="N90" s="1">
        <v>400</v>
      </c>
      <c r="O90">
        <v>3</v>
      </c>
      <c r="P90">
        <v>431.02843107384803</v>
      </c>
      <c r="Q90">
        <v>0.164598750000095</v>
      </c>
      <c r="R90" t="e">
        <f t="shared" si="3"/>
        <v>#N/A</v>
      </c>
      <c r="S90" s="1"/>
      <c r="T90">
        <f t="shared" si="2"/>
        <v>0</v>
      </c>
    </row>
    <row r="91" spans="1:20" x14ac:dyDescent="0.25">
      <c r="A91" t="s">
        <v>48</v>
      </c>
      <c r="B91" t="s">
        <v>61</v>
      </c>
      <c r="C91" t="s">
        <v>11</v>
      </c>
      <c r="D91" t="s">
        <v>66</v>
      </c>
      <c r="E91" s="2">
        <v>737</v>
      </c>
      <c r="F91" s="1">
        <v>254779</v>
      </c>
      <c r="G91">
        <v>10</v>
      </c>
      <c r="H91">
        <v>7675.3270040017096</v>
      </c>
      <c r="I91">
        <v>2.5470750000004001</v>
      </c>
      <c r="J91" s="1">
        <v>44306</v>
      </c>
      <c r="K91">
        <v>9</v>
      </c>
      <c r="L91">
        <v>7675.3270040017096</v>
      </c>
      <c r="M91">
        <v>0.10297012499904599</v>
      </c>
      <c r="N91" s="1">
        <v>400</v>
      </c>
      <c r="O91">
        <v>27</v>
      </c>
      <c r="P91">
        <v>7369.2627301625098</v>
      </c>
      <c r="Q91">
        <v>2.79242370800011</v>
      </c>
      <c r="R91" t="e">
        <f t="shared" si="3"/>
        <v>#N/A</v>
      </c>
      <c r="S91" s="1"/>
      <c r="T91">
        <f t="shared" si="2"/>
        <v>0</v>
      </c>
    </row>
    <row r="92" spans="1:20" x14ac:dyDescent="0.25">
      <c r="A92" t="s">
        <v>48</v>
      </c>
      <c r="B92" t="s">
        <v>61</v>
      </c>
      <c r="C92" t="s">
        <v>13</v>
      </c>
      <c r="D92" t="s">
        <v>66</v>
      </c>
      <c r="E92" s="2">
        <v>737</v>
      </c>
      <c r="F92" s="1">
        <v>254779</v>
      </c>
      <c r="G92">
        <v>10</v>
      </c>
      <c r="H92">
        <v>144.17979866435201</v>
      </c>
      <c r="I92">
        <v>2.5610721670000198</v>
      </c>
      <c r="J92" s="1">
        <v>1452</v>
      </c>
      <c r="K92">
        <v>0</v>
      </c>
      <c r="L92">
        <v>43.292122264550699</v>
      </c>
      <c r="M92">
        <v>4.2252499988535003E-3</v>
      </c>
      <c r="N92" s="1">
        <v>400</v>
      </c>
      <c r="O92">
        <v>1</v>
      </c>
      <c r="P92">
        <v>43.292122264550002</v>
      </c>
      <c r="Q92">
        <v>0.36309829099991398</v>
      </c>
      <c r="R92" t="e">
        <f t="shared" si="3"/>
        <v>#N/A</v>
      </c>
      <c r="S92" s="1"/>
      <c r="T92">
        <f t="shared" si="2"/>
        <v>0</v>
      </c>
    </row>
    <row r="93" spans="1:20" x14ac:dyDescent="0.25">
      <c r="A93" t="s">
        <v>48</v>
      </c>
      <c r="B93" t="s">
        <v>67</v>
      </c>
      <c r="C93" t="s">
        <v>11</v>
      </c>
      <c r="D93" t="s">
        <v>68</v>
      </c>
      <c r="E93" s="2">
        <v>164</v>
      </c>
      <c r="F93" s="1">
        <v>8389</v>
      </c>
      <c r="G93">
        <v>10</v>
      </c>
      <c r="H93">
        <v>1922.4030860863099</v>
      </c>
      <c r="I93">
        <v>7.3760666000453001E-2</v>
      </c>
      <c r="J93" s="1">
        <v>8341</v>
      </c>
      <c r="K93">
        <v>0</v>
      </c>
      <c r="L93">
        <v>2140.5476767314999</v>
      </c>
      <c r="M93">
        <v>1.8690457998672999E-2</v>
      </c>
      <c r="N93" s="1">
        <v>400</v>
      </c>
      <c r="O93">
        <v>13</v>
      </c>
      <c r="P93">
        <v>1904.1694456559601</v>
      </c>
      <c r="Q93">
        <v>0.343501833000118</v>
      </c>
      <c r="R93" t="e">
        <f t="shared" si="3"/>
        <v>#N/A</v>
      </c>
      <c r="S93" s="1"/>
      <c r="T93">
        <f t="shared" si="2"/>
        <v>0</v>
      </c>
    </row>
    <row r="94" spans="1:20" x14ac:dyDescent="0.25">
      <c r="A94" t="s">
        <v>48</v>
      </c>
      <c r="B94" t="s">
        <v>67</v>
      </c>
      <c r="C94" t="s">
        <v>13</v>
      </c>
      <c r="D94" t="s">
        <v>68</v>
      </c>
      <c r="E94" s="2">
        <v>164</v>
      </c>
      <c r="F94" s="1">
        <v>8389</v>
      </c>
      <c r="G94">
        <v>10</v>
      </c>
      <c r="H94">
        <v>676.33554143159995</v>
      </c>
      <c r="I94">
        <v>4.6103167000183E-2</v>
      </c>
      <c r="J94" s="1">
        <v>306</v>
      </c>
      <c r="K94">
        <v>0</v>
      </c>
      <c r="L94">
        <v>52.663975985546401</v>
      </c>
      <c r="M94">
        <v>9.2208399837540001E-4</v>
      </c>
      <c r="N94" s="1">
        <v>400</v>
      </c>
      <c r="O94">
        <v>3</v>
      </c>
      <c r="P94">
        <v>202.69712285897899</v>
      </c>
      <c r="Q94">
        <v>0.179851625000083</v>
      </c>
      <c r="R94" t="e">
        <f t="shared" si="3"/>
        <v>#N/A</v>
      </c>
      <c r="S94" s="1"/>
      <c r="T94">
        <f t="shared" si="2"/>
        <v>0</v>
      </c>
    </row>
    <row r="95" spans="1:20" x14ac:dyDescent="0.25">
      <c r="A95" t="s">
        <v>48</v>
      </c>
      <c r="B95" t="s">
        <v>67</v>
      </c>
      <c r="C95" t="s">
        <v>11</v>
      </c>
      <c r="D95" t="s">
        <v>69</v>
      </c>
      <c r="E95" s="2">
        <v>126</v>
      </c>
      <c r="F95" s="1">
        <v>3658</v>
      </c>
      <c r="G95">
        <v>10</v>
      </c>
      <c r="H95">
        <v>1642.53533727271</v>
      </c>
      <c r="I95">
        <v>1.7988915999012499E-2</v>
      </c>
      <c r="J95" s="1">
        <v>2636</v>
      </c>
      <c r="K95">
        <v>3</v>
      </c>
      <c r="L95">
        <v>1716.9244751204401</v>
      </c>
      <c r="M95">
        <v>6.0456669998529E-3</v>
      </c>
      <c r="N95" s="1">
        <v>400</v>
      </c>
      <c r="O95">
        <v>7</v>
      </c>
      <c r="P95">
        <v>1686.2915469219199</v>
      </c>
      <c r="Q95">
        <v>0.25130312500004898</v>
      </c>
      <c r="R95" t="e">
        <f t="shared" si="3"/>
        <v>#N/A</v>
      </c>
      <c r="S95" s="1"/>
      <c r="T95">
        <f t="shared" si="2"/>
        <v>0</v>
      </c>
    </row>
    <row r="96" spans="1:20" x14ac:dyDescent="0.25">
      <c r="A96" t="s">
        <v>48</v>
      </c>
      <c r="B96" t="s">
        <v>67</v>
      </c>
      <c r="C96" t="s">
        <v>13</v>
      </c>
      <c r="D96" t="s">
        <v>69</v>
      </c>
      <c r="E96" s="2">
        <v>126</v>
      </c>
      <c r="F96" s="1">
        <v>3658</v>
      </c>
      <c r="G96">
        <v>10</v>
      </c>
      <c r="H96">
        <v>1600.3477926399801</v>
      </c>
      <c r="I96">
        <v>1.7575583999132501E-2</v>
      </c>
      <c r="J96" s="1">
        <v>230</v>
      </c>
      <c r="K96">
        <v>0</v>
      </c>
      <c r="L96">
        <v>228.198733552666</v>
      </c>
      <c r="M96">
        <v>6.9699999949069996E-4</v>
      </c>
      <c r="N96" s="1">
        <v>400</v>
      </c>
      <c r="O96">
        <v>2</v>
      </c>
      <c r="P96">
        <v>563.21273391730494</v>
      </c>
      <c r="Q96">
        <v>0.105672666999907</v>
      </c>
      <c r="R96" t="e">
        <f t="shared" si="3"/>
        <v>#N/A</v>
      </c>
      <c r="S96" s="1"/>
      <c r="T96">
        <f t="shared" si="2"/>
        <v>0</v>
      </c>
    </row>
    <row r="97" spans="1:20" x14ac:dyDescent="0.25">
      <c r="A97" t="s">
        <v>48</v>
      </c>
      <c r="B97" t="s">
        <v>67</v>
      </c>
      <c r="C97" t="s">
        <v>11</v>
      </c>
      <c r="D97" t="s">
        <v>70</v>
      </c>
      <c r="E97" s="2">
        <v>118</v>
      </c>
      <c r="F97" s="1">
        <v>2846</v>
      </c>
      <c r="G97">
        <v>10</v>
      </c>
      <c r="H97">
        <v>517.32380025205202</v>
      </c>
      <c r="I97">
        <v>1.5243874999214301E-2</v>
      </c>
      <c r="J97" s="1">
        <v>1940</v>
      </c>
      <c r="K97">
        <v>4</v>
      </c>
      <c r="L97">
        <v>611.77363789921003</v>
      </c>
      <c r="M97">
        <v>4.4632089993682997E-3</v>
      </c>
      <c r="N97" s="1">
        <v>400</v>
      </c>
      <c r="O97">
        <v>8</v>
      </c>
      <c r="P97">
        <v>560.87647316776395</v>
      </c>
      <c r="Q97">
        <v>0.233867207999992</v>
      </c>
      <c r="R97" t="e">
        <f t="shared" si="3"/>
        <v>#N/A</v>
      </c>
      <c r="S97" s="1"/>
      <c r="T97">
        <f t="shared" si="2"/>
        <v>0</v>
      </c>
    </row>
    <row r="98" spans="1:20" x14ac:dyDescent="0.25">
      <c r="A98" t="s">
        <v>48</v>
      </c>
      <c r="B98" t="s">
        <v>67</v>
      </c>
      <c r="C98" t="s">
        <v>13</v>
      </c>
      <c r="D98" t="s">
        <v>70</v>
      </c>
      <c r="E98" s="2">
        <v>118</v>
      </c>
      <c r="F98" s="1">
        <v>2846</v>
      </c>
      <c r="G98">
        <v>10</v>
      </c>
      <c r="H98">
        <v>21.9758937463675</v>
      </c>
      <c r="I98">
        <v>1.3504500000635701E-2</v>
      </c>
      <c r="J98" s="1">
        <v>214</v>
      </c>
      <c r="K98">
        <v>1</v>
      </c>
      <c r="L98">
        <v>7.3441115753513699</v>
      </c>
      <c r="M98">
        <v>6.5629200071270002E-4</v>
      </c>
      <c r="N98" s="1">
        <v>400</v>
      </c>
      <c r="O98">
        <v>1</v>
      </c>
      <c r="P98">
        <v>7.9772418496673998</v>
      </c>
      <c r="Q98">
        <v>5.5338334000225503E-2</v>
      </c>
      <c r="R98" t="e">
        <f t="shared" si="3"/>
        <v>#N/A</v>
      </c>
      <c r="S98" s="1"/>
      <c r="T98">
        <f t="shared" si="2"/>
        <v>0</v>
      </c>
    </row>
    <row r="99" spans="1:20" x14ac:dyDescent="0.25">
      <c r="A99" t="s">
        <v>48</v>
      </c>
      <c r="B99" t="s">
        <v>67</v>
      </c>
      <c r="C99" t="s">
        <v>11</v>
      </c>
      <c r="D99" t="s">
        <v>71</v>
      </c>
      <c r="E99" s="2">
        <v>126</v>
      </c>
      <c r="F99" s="1">
        <v>3658</v>
      </c>
      <c r="G99">
        <v>10</v>
      </c>
      <c r="H99">
        <v>275.77164276639797</v>
      </c>
      <c r="I99">
        <v>1.90152089999173E-2</v>
      </c>
      <c r="J99" s="1">
        <v>1929</v>
      </c>
      <c r="K99">
        <v>8</v>
      </c>
      <c r="L99">
        <v>286.71840157676098</v>
      </c>
      <c r="M99">
        <v>4.5352090000959997E-3</v>
      </c>
      <c r="N99" s="1">
        <v>400</v>
      </c>
      <c r="O99">
        <v>9</v>
      </c>
      <c r="P99">
        <v>388.12526355409602</v>
      </c>
      <c r="Q99">
        <v>0.218287000000145</v>
      </c>
      <c r="R99" t="e">
        <f t="shared" si="3"/>
        <v>#N/A</v>
      </c>
      <c r="S99" s="1"/>
      <c r="T99">
        <f t="shared" si="2"/>
        <v>0</v>
      </c>
    </row>
    <row r="100" spans="1:20" x14ac:dyDescent="0.25">
      <c r="A100" t="s">
        <v>48</v>
      </c>
      <c r="B100" t="s">
        <v>67</v>
      </c>
      <c r="C100" t="s">
        <v>13</v>
      </c>
      <c r="D100" t="s">
        <v>71</v>
      </c>
      <c r="E100" s="2">
        <v>126</v>
      </c>
      <c r="F100" s="1">
        <v>3658</v>
      </c>
      <c r="G100">
        <v>10</v>
      </c>
      <c r="H100">
        <v>6.3210067981650502</v>
      </c>
      <c r="I100">
        <v>1.7674709000857498E-2</v>
      </c>
      <c r="J100" s="1">
        <v>262</v>
      </c>
      <c r="K100">
        <v>5</v>
      </c>
      <c r="L100">
        <v>5.6075204929450102</v>
      </c>
      <c r="M100">
        <v>7.9166600153250004E-4</v>
      </c>
      <c r="N100" s="1">
        <v>400</v>
      </c>
      <c r="O100">
        <v>2</v>
      </c>
      <c r="P100">
        <v>6.0832689685003896</v>
      </c>
      <c r="Q100">
        <v>0.104198167000049</v>
      </c>
      <c r="R100" t="e">
        <f t="shared" si="3"/>
        <v>#N/A</v>
      </c>
      <c r="S100" s="1"/>
      <c r="T100">
        <f t="shared" si="2"/>
        <v>0</v>
      </c>
    </row>
    <row r="101" spans="1:20" x14ac:dyDescent="0.25">
      <c r="A101" t="s">
        <v>48</v>
      </c>
      <c r="B101" t="s">
        <v>67</v>
      </c>
      <c r="C101" t="s">
        <v>11</v>
      </c>
      <c r="D101" t="s">
        <v>72</v>
      </c>
      <c r="E101" s="2">
        <v>866</v>
      </c>
      <c r="F101" s="1">
        <v>355528</v>
      </c>
      <c r="G101">
        <v>10</v>
      </c>
      <c r="H101">
        <v>7621.7787993363199</v>
      </c>
      <c r="I101">
        <v>3.8025400839997001</v>
      </c>
      <c r="J101" s="1">
        <v>22877</v>
      </c>
      <c r="K101">
        <v>34</v>
      </c>
      <c r="L101">
        <v>5666.6210366209798</v>
      </c>
      <c r="M101">
        <v>5.83667080009036E-2</v>
      </c>
      <c r="N101" s="1">
        <v>400</v>
      </c>
      <c r="O101">
        <v>69</v>
      </c>
      <c r="P101">
        <v>4958.1175009170302</v>
      </c>
      <c r="Q101">
        <v>3.3223813749996198</v>
      </c>
      <c r="R101" t="e">
        <f t="shared" si="3"/>
        <v>#N/A</v>
      </c>
      <c r="S101" s="1"/>
      <c r="T101">
        <f t="shared" si="2"/>
        <v>0</v>
      </c>
    </row>
    <row r="102" spans="1:20" x14ac:dyDescent="0.25">
      <c r="A102" t="s">
        <v>48</v>
      </c>
      <c r="B102" t="s">
        <v>67</v>
      </c>
      <c r="C102" t="s">
        <v>13</v>
      </c>
      <c r="D102" t="s">
        <v>72</v>
      </c>
      <c r="E102" s="2">
        <v>866</v>
      </c>
      <c r="F102" s="1">
        <v>355528</v>
      </c>
      <c r="G102">
        <v>10</v>
      </c>
      <c r="H102">
        <v>68.391035456461196</v>
      </c>
      <c r="I102">
        <v>3.9219677500004702</v>
      </c>
      <c r="J102" s="1">
        <v>1718</v>
      </c>
      <c r="K102">
        <v>26</v>
      </c>
      <c r="L102">
        <v>188.30204150458701</v>
      </c>
      <c r="M102">
        <v>5.4688330001226E-3</v>
      </c>
      <c r="N102" s="1">
        <v>400</v>
      </c>
      <c r="O102">
        <v>6</v>
      </c>
      <c r="P102">
        <v>89.969319743593104</v>
      </c>
      <c r="Q102">
        <v>1.44918491699991</v>
      </c>
      <c r="R102" t="e">
        <f t="shared" si="3"/>
        <v>#N/A</v>
      </c>
      <c r="S102" s="1"/>
      <c r="T102">
        <f t="shared" si="2"/>
        <v>0</v>
      </c>
    </row>
    <row r="103" spans="1:20" x14ac:dyDescent="0.25">
      <c r="A103" t="s">
        <v>48</v>
      </c>
      <c r="B103" t="s">
        <v>73</v>
      </c>
      <c r="C103" t="s">
        <v>11</v>
      </c>
      <c r="D103" t="s">
        <v>74</v>
      </c>
      <c r="E103" s="2">
        <v>109</v>
      </c>
      <c r="F103" s="1">
        <v>2009</v>
      </c>
      <c r="G103">
        <v>10</v>
      </c>
      <c r="H103">
        <v>1334.0476184132399</v>
      </c>
      <c r="I103">
        <v>8.6948329990263994E-3</v>
      </c>
      <c r="J103" s="1">
        <v>2882</v>
      </c>
      <c r="K103">
        <v>1</v>
      </c>
      <c r="L103">
        <v>1496.2857787288799</v>
      </c>
      <c r="M103">
        <v>6.4778329997352002E-3</v>
      </c>
      <c r="N103" s="1">
        <v>400</v>
      </c>
      <c r="O103">
        <v>8</v>
      </c>
      <c r="P103">
        <v>1360.24728174401</v>
      </c>
      <c r="Q103">
        <v>0.16401224999981401</v>
      </c>
      <c r="R103" t="e">
        <f t="shared" si="3"/>
        <v>#N/A</v>
      </c>
      <c r="S103" s="1"/>
      <c r="T103">
        <f t="shared" si="2"/>
        <v>0</v>
      </c>
    </row>
    <row r="104" spans="1:20" x14ac:dyDescent="0.25">
      <c r="A104" t="s">
        <v>48</v>
      </c>
      <c r="B104" t="s">
        <v>73</v>
      </c>
      <c r="C104" t="s">
        <v>13</v>
      </c>
      <c r="D104" t="s">
        <v>74</v>
      </c>
      <c r="E104" s="2">
        <v>109</v>
      </c>
      <c r="F104" s="1">
        <v>2009</v>
      </c>
      <c r="G104">
        <v>10</v>
      </c>
      <c r="H104">
        <v>1266.58576081827</v>
      </c>
      <c r="I104">
        <v>9.2424579997896009E-3</v>
      </c>
      <c r="J104" s="1">
        <v>196</v>
      </c>
      <c r="K104">
        <v>0</v>
      </c>
      <c r="L104">
        <v>181.44301899822199</v>
      </c>
      <c r="M104">
        <v>6.0170799952170004E-4</v>
      </c>
      <c r="N104" s="1">
        <v>400</v>
      </c>
      <c r="O104">
        <v>1</v>
      </c>
      <c r="P104">
        <v>181.44301899822199</v>
      </c>
      <c r="Q104">
        <v>4.9911916999917497E-2</v>
      </c>
      <c r="R104" t="e">
        <f t="shared" si="3"/>
        <v>#N/A</v>
      </c>
      <c r="S104" s="1"/>
      <c r="T104">
        <f t="shared" si="2"/>
        <v>0</v>
      </c>
    </row>
    <row r="105" spans="1:20" x14ac:dyDescent="0.25">
      <c r="A105" t="s">
        <v>48</v>
      </c>
      <c r="B105" t="s">
        <v>73</v>
      </c>
      <c r="C105" t="s">
        <v>11</v>
      </c>
      <c r="D105" t="s">
        <v>75</v>
      </c>
      <c r="E105" s="2">
        <v>106</v>
      </c>
      <c r="F105" s="1">
        <v>1748</v>
      </c>
      <c r="G105">
        <v>10</v>
      </c>
      <c r="H105">
        <v>1074.39090906209</v>
      </c>
      <c r="I105">
        <v>7.3594999994384003E-3</v>
      </c>
      <c r="J105" s="1">
        <v>2480</v>
      </c>
      <c r="K105">
        <v>2</v>
      </c>
      <c r="L105">
        <v>1158.33857010322</v>
      </c>
      <c r="M105">
        <v>5.5822920003265001E-3</v>
      </c>
      <c r="N105" s="1">
        <v>400</v>
      </c>
      <c r="O105">
        <v>6</v>
      </c>
      <c r="P105">
        <v>1107.7196266475501</v>
      </c>
      <c r="Q105">
        <v>0.157255207999696</v>
      </c>
      <c r="R105" t="e">
        <f t="shared" si="3"/>
        <v>#N/A</v>
      </c>
      <c r="S105" s="1"/>
      <c r="T105">
        <f t="shared" si="2"/>
        <v>0</v>
      </c>
    </row>
    <row r="106" spans="1:20" x14ac:dyDescent="0.25">
      <c r="A106" t="s">
        <v>48</v>
      </c>
      <c r="B106" t="s">
        <v>73</v>
      </c>
      <c r="C106" t="s">
        <v>13</v>
      </c>
      <c r="D106" t="s">
        <v>75</v>
      </c>
      <c r="E106" s="2">
        <v>106</v>
      </c>
      <c r="F106" s="1">
        <v>1748</v>
      </c>
      <c r="G106">
        <v>10</v>
      </c>
      <c r="H106">
        <v>370.95796179889498</v>
      </c>
      <c r="I106">
        <v>7.8649580009367993E-3</v>
      </c>
      <c r="J106" s="1">
        <v>190</v>
      </c>
      <c r="K106">
        <v>0</v>
      </c>
      <c r="L106">
        <v>39.913512995688102</v>
      </c>
      <c r="M106">
        <v>6.2350000007420001E-4</v>
      </c>
      <c r="N106" s="1">
        <v>400</v>
      </c>
      <c r="O106">
        <v>1</v>
      </c>
      <c r="P106">
        <v>39.913512995688002</v>
      </c>
      <c r="Q106">
        <v>4.9229124999783297E-2</v>
      </c>
      <c r="R106" t="e">
        <f t="shared" si="3"/>
        <v>#N/A</v>
      </c>
      <c r="S106" s="1"/>
      <c r="T106">
        <f t="shared" si="2"/>
        <v>0</v>
      </c>
    </row>
    <row r="107" spans="1:20" x14ac:dyDescent="0.25">
      <c r="A107" t="s">
        <v>48</v>
      </c>
      <c r="B107" t="s">
        <v>73</v>
      </c>
      <c r="C107" t="s">
        <v>11</v>
      </c>
      <c r="D107" t="s">
        <v>76</v>
      </c>
      <c r="E107" s="2">
        <v>106</v>
      </c>
      <c r="F107" s="1">
        <v>1748</v>
      </c>
      <c r="G107">
        <v>10</v>
      </c>
      <c r="H107">
        <v>1415.2243072554099</v>
      </c>
      <c r="I107">
        <v>7.3283330002595001E-3</v>
      </c>
      <c r="J107" s="1">
        <v>2743</v>
      </c>
      <c r="K107">
        <v>2</v>
      </c>
      <c r="L107">
        <v>1526.8630593258899</v>
      </c>
      <c r="M107">
        <v>6.3494590012850996E-3</v>
      </c>
      <c r="N107" s="1">
        <v>400</v>
      </c>
      <c r="O107">
        <v>8</v>
      </c>
      <c r="P107">
        <v>1456.0348662611</v>
      </c>
      <c r="Q107">
        <v>0.17317312499972101</v>
      </c>
      <c r="R107" t="e">
        <f t="shared" si="3"/>
        <v>#N/A</v>
      </c>
      <c r="S107" s="1"/>
      <c r="T107">
        <f t="shared" si="2"/>
        <v>0</v>
      </c>
    </row>
    <row r="108" spans="1:20" x14ac:dyDescent="0.25">
      <c r="A108" t="s">
        <v>48</v>
      </c>
      <c r="B108" t="s">
        <v>73</v>
      </c>
      <c r="C108" t="s">
        <v>13</v>
      </c>
      <c r="D108" t="s">
        <v>76</v>
      </c>
      <c r="E108" s="2">
        <v>106</v>
      </c>
      <c r="F108" s="1">
        <v>1748</v>
      </c>
      <c r="G108">
        <v>10</v>
      </c>
      <c r="H108">
        <v>2216.8803313418798</v>
      </c>
      <c r="I108">
        <v>7.8615410002384999E-3</v>
      </c>
      <c r="J108" s="1">
        <v>190</v>
      </c>
      <c r="K108">
        <v>0</v>
      </c>
      <c r="L108">
        <v>246.87412328324501</v>
      </c>
      <c r="M108">
        <v>5.7733399989949997E-4</v>
      </c>
      <c r="N108" s="1">
        <v>400</v>
      </c>
      <c r="O108">
        <v>2</v>
      </c>
      <c r="P108">
        <v>483.39780466249601</v>
      </c>
      <c r="Q108">
        <v>8.8207582999984796E-2</v>
      </c>
      <c r="R108" t="e">
        <f t="shared" si="3"/>
        <v>#N/A</v>
      </c>
      <c r="S108" s="1"/>
      <c r="T108">
        <f t="shared" si="2"/>
        <v>0</v>
      </c>
    </row>
    <row r="109" spans="1:20" x14ac:dyDescent="0.25">
      <c r="A109" t="s">
        <v>48</v>
      </c>
      <c r="B109" t="s">
        <v>73</v>
      </c>
      <c r="C109" t="s">
        <v>11</v>
      </c>
      <c r="D109" t="s">
        <v>77</v>
      </c>
      <c r="E109" s="2">
        <v>106</v>
      </c>
      <c r="F109" s="1">
        <v>1748</v>
      </c>
      <c r="G109">
        <v>10</v>
      </c>
      <c r="H109">
        <v>774.64378807948503</v>
      </c>
      <c r="I109">
        <v>7.3723330006031998E-3</v>
      </c>
      <c r="J109" s="1">
        <v>2240</v>
      </c>
      <c r="K109">
        <v>4</v>
      </c>
      <c r="L109">
        <v>841.78181360803296</v>
      </c>
      <c r="M109">
        <v>5.1075829996989003E-3</v>
      </c>
      <c r="N109" s="1">
        <v>400</v>
      </c>
      <c r="O109">
        <v>8</v>
      </c>
      <c r="P109">
        <v>794.85705125657</v>
      </c>
      <c r="Q109">
        <v>0.17343179099998399</v>
      </c>
      <c r="R109" t="e">
        <f t="shared" si="3"/>
        <v>#N/A</v>
      </c>
      <c r="S109" s="1"/>
      <c r="T109">
        <f t="shared" si="2"/>
        <v>0</v>
      </c>
    </row>
    <row r="110" spans="1:20" x14ac:dyDescent="0.25">
      <c r="A110" t="s">
        <v>48</v>
      </c>
      <c r="B110" t="s">
        <v>73</v>
      </c>
      <c r="C110" t="s">
        <v>13</v>
      </c>
      <c r="D110" t="s">
        <v>77</v>
      </c>
      <c r="E110" s="2">
        <v>106</v>
      </c>
      <c r="F110" s="1">
        <v>1748</v>
      </c>
      <c r="G110">
        <v>10</v>
      </c>
      <c r="H110">
        <v>100.041473366574</v>
      </c>
      <c r="I110">
        <v>7.9517920003127004E-3</v>
      </c>
      <c r="J110" s="1">
        <v>190</v>
      </c>
      <c r="K110">
        <v>2</v>
      </c>
      <c r="L110">
        <v>47.035346974325599</v>
      </c>
      <c r="M110">
        <v>6.0233299882379995E-4</v>
      </c>
      <c r="N110" s="1">
        <v>400</v>
      </c>
      <c r="O110">
        <v>1</v>
      </c>
      <c r="P110">
        <v>37.670246521769499</v>
      </c>
      <c r="Q110">
        <v>4.8555583000052097E-2</v>
      </c>
      <c r="R110" t="e">
        <f t="shared" si="3"/>
        <v>#N/A</v>
      </c>
      <c r="S110" s="1"/>
      <c r="T110">
        <f t="shared" si="2"/>
        <v>0</v>
      </c>
    </row>
    <row r="111" spans="1:20" x14ac:dyDescent="0.25">
      <c r="A111" t="s">
        <v>48</v>
      </c>
      <c r="B111" t="s">
        <v>73</v>
      </c>
      <c r="C111" t="s">
        <v>11</v>
      </c>
      <c r="D111" t="s">
        <v>78</v>
      </c>
      <c r="E111" s="2">
        <v>737</v>
      </c>
      <c r="F111" s="1">
        <v>254779</v>
      </c>
      <c r="G111">
        <v>10</v>
      </c>
      <c r="H111">
        <v>7671.1611359237604</v>
      </c>
      <c r="I111">
        <v>2.4850994580010499</v>
      </c>
      <c r="J111" s="1">
        <v>44319</v>
      </c>
      <c r="K111">
        <v>8</v>
      </c>
      <c r="L111">
        <v>7705.1575888161797</v>
      </c>
      <c r="M111">
        <v>0.101176124999255</v>
      </c>
      <c r="N111" s="1">
        <v>400</v>
      </c>
      <c r="O111">
        <v>22</v>
      </c>
      <c r="P111">
        <v>7513.1110637427801</v>
      </c>
      <c r="Q111">
        <v>2.6376498750000699</v>
      </c>
      <c r="R111" t="e">
        <f t="shared" si="3"/>
        <v>#N/A</v>
      </c>
      <c r="S111" s="1"/>
      <c r="T111">
        <f t="shared" si="2"/>
        <v>0</v>
      </c>
    </row>
    <row r="112" spans="1:20" x14ac:dyDescent="0.25">
      <c r="A112" t="s">
        <v>48</v>
      </c>
      <c r="B112" t="s">
        <v>73</v>
      </c>
      <c r="C112" t="s">
        <v>13</v>
      </c>
      <c r="D112" t="s">
        <v>78</v>
      </c>
      <c r="E112" s="2">
        <v>737</v>
      </c>
      <c r="F112" s="1">
        <v>254779</v>
      </c>
      <c r="G112">
        <v>10</v>
      </c>
      <c r="H112">
        <v>167.17021201364599</v>
      </c>
      <c r="I112">
        <v>2.6352581249993801</v>
      </c>
      <c r="J112" s="1">
        <v>1452</v>
      </c>
      <c r="K112">
        <v>0</v>
      </c>
      <c r="L112">
        <v>35.111863265892701</v>
      </c>
      <c r="M112">
        <v>4.3562920000113003E-3</v>
      </c>
      <c r="N112" s="1">
        <v>400</v>
      </c>
      <c r="O112">
        <v>1</v>
      </c>
      <c r="P112">
        <v>35.111863265897099</v>
      </c>
      <c r="Q112">
        <v>0.36071208400016902</v>
      </c>
      <c r="R112" t="e">
        <f t="shared" si="3"/>
        <v>#N/A</v>
      </c>
      <c r="S112" s="1"/>
      <c r="T112">
        <f t="shared" si="2"/>
        <v>0</v>
      </c>
    </row>
    <row r="113" spans="1:20" x14ac:dyDescent="0.25">
      <c r="A113" t="s">
        <v>48</v>
      </c>
      <c r="B113" t="s">
        <v>79</v>
      </c>
      <c r="C113" t="s">
        <v>11</v>
      </c>
      <c r="D113" t="s">
        <v>80</v>
      </c>
      <c r="E113" s="2">
        <v>180</v>
      </c>
      <c r="F113" s="1">
        <v>10813</v>
      </c>
      <c r="G113">
        <v>10</v>
      </c>
      <c r="H113">
        <v>1476.27561241121</v>
      </c>
      <c r="I113">
        <v>5.6542667000030598E-2</v>
      </c>
      <c r="J113" s="1">
        <v>5402</v>
      </c>
      <c r="K113">
        <v>6</v>
      </c>
      <c r="L113">
        <v>1553.7848638042999</v>
      </c>
      <c r="M113">
        <v>1.25853329991514E-2</v>
      </c>
      <c r="N113" s="1">
        <v>400</v>
      </c>
      <c r="O113">
        <v>16</v>
      </c>
      <c r="P113">
        <v>1418.9909539201501</v>
      </c>
      <c r="Q113">
        <v>0.41035629200041501</v>
      </c>
      <c r="R113" t="e">
        <f t="shared" si="3"/>
        <v>#N/A</v>
      </c>
      <c r="S113" s="1"/>
      <c r="T113">
        <f t="shared" si="2"/>
        <v>0</v>
      </c>
    </row>
    <row r="114" spans="1:20" x14ac:dyDescent="0.25">
      <c r="A114" t="s">
        <v>48</v>
      </c>
      <c r="B114" t="s">
        <v>79</v>
      </c>
      <c r="C114" t="s">
        <v>13</v>
      </c>
      <c r="D114" t="s">
        <v>80</v>
      </c>
      <c r="E114" s="2">
        <v>180</v>
      </c>
      <c r="F114" s="1">
        <v>10813</v>
      </c>
      <c r="G114">
        <v>10</v>
      </c>
      <c r="H114">
        <v>115.245823407811</v>
      </c>
      <c r="I114">
        <v>6.1424458001056302E-2</v>
      </c>
      <c r="J114" s="1">
        <v>338</v>
      </c>
      <c r="K114">
        <v>0</v>
      </c>
      <c r="L114">
        <v>14.4660112169864</v>
      </c>
      <c r="M114">
        <v>1.0060839995276001E-3</v>
      </c>
      <c r="N114" s="1">
        <v>400</v>
      </c>
      <c r="O114">
        <v>1</v>
      </c>
      <c r="P114">
        <v>14.466011216986301</v>
      </c>
      <c r="Q114">
        <v>8.3525084000029795E-2</v>
      </c>
      <c r="R114" t="e">
        <f t="shared" si="3"/>
        <v>#N/A</v>
      </c>
      <c r="S114" s="1"/>
      <c r="T114">
        <f t="shared" si="2"/>
        <v>0</v>
      </c>
    </row>
    <row r="115" spans="1:20" x14ac:dyDescent="0.25">
      <c r="A115" t="s">
        <v>48</v>
      </c>
      <c r="B115" t="s">
        <v>79</v>
      </c>
      <c r="C115" t="s">
        <v>11</v>
      </c>
      <c r="D115" t="s">
        <v>81</v>
      </c>
      <c r="E115" s="2">
        <v>177</v>
      </c>
      <c r="F115" s="1">
        <v>10339</v>
      </c>
      <c r="G115">
        <v>10</v>
      </c>
      <c r="H115">
        <v>1553.17603289257</v>
      </c>
      <c r="I115">
        <v>5.4170375000467098E-2</v>
      </c>
      <c r="J115" s="1">
        <v>6475</v>
      </c>
      <c r="K115">
        <v>3</v>
      </c>
      <c r="L115">
        <v>1676.8045600518401</v>
      </c>
      <c r="M115">
        <v>1.4806999999564099E-2</v>
      </c>
      <c r="N115" s="1">
        <v>400</v>
      </c>
      <c r="O115">
        <v>10</v>
      </c>
      <c r="P115">
        <v>1570.4285128218801</v>
      </c>
      <c r="Q115">
        <v>0.376424208000116</v>
      </c>
      <c r="R115">
        <f t="shared" si="3"/>
        <v>1.1107871589532442E-2</v>
      </c>
      <c r="S115" s="1"/>
      <c r="T115">
        <f t="shared" si="2"/>
        <v>0</v>
      </c>
    </row>
    <row r="116" spans="1:20" x14ac:dyDescent="0.25">
      <c r="A116" t="s">
        <v>48</v>
      </c>
      <c r="B116" t="s">
        <v>79</v>
      </c>
      <c r="C116" t="s">
        <v>13</v>
      </c>
      <c r="D116" t="s">
        <v>81</v>
      </c>
      <c r="E116" s="2">
        <v>177</v>
      </c>
      <c r="F116" s="1">
        <v>10339</v>
      </c>
      <c r="G116">
        <v>10</v>
      </c>
      <c r="H116">
        <v>128.786431472667</v>
      </c>
      <c r="I116">
        <v>5.73184160002711E-2</v>
      </c>
      <c r="J116" s="1">
        <v>332</v>
      </c>
      <c r="K116">
        <v>0</v>
      </c>
      <c r="L116">
        <v>27.463453212112501</v>
      </c>
      <c r="M116">
        <v>9.9341699933569992E-4</v>
      </c>
      <c r="N116" s="1">
        <v>400</v>
      </c>
      <c r="O116">
        <v>1</v>
      </c>
      <c r="P116">
        <v>27.463453212112601</v>
      </c>
      <c r="Q116">
        <v>8.4417250000115004E-2</v>
      </c>
      <c r="R116" t="e">
        <f t="shared" si="3"/>
        <v>#N/A</v>
      </c>
      <c r="S116" s="1"/>
      <c r="T116">
        <f t="shared" si="2"/>
        <v>0</v>
      </c>
    </row>
    <row r="117" spans="1:20" x14ac:dyDescent="0.25">
      <c r="A117" t="s">
        <v>48</v>
      </c>
      <c r="B117" t="s">
        <v>79</v>
      </c>
      <c r="C117" t="s">
        <v>11</v>
      </c>
      <c r="D117" t="s">
        <v>82</v>
      </c>
      <c r="E117" s="2">
        <v>122</v>
      </c>
      <c r="F117" s="1">
        <v>3244</v>
      </c>
      <c r="G117">
        <v>10</v>
      </c>
      <c r="H117">
        <v>989.08860591427504</v>
      </c>
      <c r="I117">
        <v>1.56105000005482E-2</v>
      </c>
      <c r="J117" s="1">
        <v>4256</v>
      </c>
      <c r="K117">
        <v>3</v>
      </c>
      <c r="L117">
        <v>1073.5211729928601</v>
      </c>
      <c r="M117">
        <v>9.6866250005405007E-3</v>
      </c>
      <c r="N117" s="1">
        <v>400</v>
      </c>
      <c r="O117">
        <v>7</v>
      </c>
      <c r="P117">
        <v>1012.71740909291</v>
      </c>
      <c r="Q117">
        <v>0.28683883299981899</v>
      </c>
      <c r="R117" t="e">
        <f t="shared" si="3"/>
        <v>#N/A</v>
      </c>
      <c r="S117" s="1"/>
      <c r="T117">
        <f t="shared" si="2"/>
        <v>0</v>
      </c>
    </row>
    <row r="118" spans="1:20" x14ac:dyDescent="0.25">
      <c r="A118" t="s">
        <v>48</v>
      </c>
      <c r="B118" t="s">
        <v>79</v>
      </c>
      <c r="C118" t="s">
        <v>13</v>
      </c>
      <c r="D118" t="s">
        <v>82</v>
      </c>
      <c r="E118" s="2">
        <v>122</v>
      </c>
      <c r="F118" s="1">
        <v>3244</v>
      </c>
      <c r="G118">
        <v>10</v>
      </c>
      <c r="H118">
        <v>142.29827236113701</v>
      </c>
      <c r="I118">
        <v>1.53073330002371E-2</v>
      </c>
      <c r="J118" s="1">
        <v>222</v>
      </c>
      <c r="K118">
        <v>2</v>
      </c>
      <c r="L118">
        <v>22.332284112650999</v>
      </c>
      <c r="M118">
        <v>6.9558300128839999E-4</v>
      </c>
      <c r="N118" s="1">
        <v>400</v>
      </c>
      <c r="O118">
        <v>2</v>
      </c>
      <c r="P118">
        <v>21.849971013340902</v>
      </c>
      <c r="Q118">
        <v>0.109649208000064</v>
      </c>
      <c r="R118" t="e">
        <f t="shared" si="3"/>
        <v>#N/A</v>
      </c>
      <c r="S118" s="1"/>
      <c r="T118">
        <f t="shared" si="2"/>
        <v>0</v>
      </c>
    </row>
    <row r="119" spans="1:20" x14ac:dyDescent="0.25">
      <c r="A119" t="s">
        <v>48</v>
      </c>
      <c r="B119" t="s">
        <v>79</v>
      </c>
      <c r="C119" t="s">
        <v>11</v>
      </c>
      <c r="D119" t="s">
        <v>83</v>
      </c>
      <c r="E119" s="2">
        <v>122</v>
      </c>
      <c r="F119" s="1">
        <v>3244</v>
      </c>
      <c r="G119">
        <v>10</v>
      </c>
      <c r="H119">
        <v>512.30950924021204</v>
      </c>
      <c r="I119">
        <v>1.6786041998784602E-2</v>
      </c>
      <c r="J119" s="1">
        <v>2549</v>
      </c>
      <c r="K119">
        <v>6</v>
      </c>
      <c r="L119">
        <v>599.15468542375697</v>
      </c>
      <c r="M119">
        <v>5.8954169999195999E-3</v>
      </c>
      <c r="N119" s="1">
        <v>400</v>
      </c>
      <c r="O119">
        <v>10</v>
      </c>
      <c r="P119">
        <v>573.19248410796297</v>
      </c>
      <c r="Q119">
        <v>0.20702670799983</v>
      </c>
      <c r="R119">
        <f t="shared" si="3"/>
        <v>0.11884022015918522</v>
      </c>
      <c r="S119" s="1"/>
      <c r="T119">
        <f t="shared" si="2"/>
        <v>0</v>
      </c>
    </row>
    <row r="120" spans="1:20" x14ac:dyDescent="0.25">
      <c r="A120" t="s">
        <v>48</v>
      </c>
      <c r="B120" t="s">
        <v>79</v>
      </c>
      <c r="C120" t="s">
        <v>13</v>
      </c>
      <c r="D120" t="s">
        <v>83</v>
      </c>
      <c r="E120" s="2">
        <v>122</v>
      </c>
      <c r="F120" s="1">
        <v>3244</v>
      </c>
      <c r="G120">
        <v>10</v>
      </c>
      <c r="H120">
        <v>22.499136017949802</v>
      </c>
      <c r="I120">
        <v>1.52427920002082E-2</v>
      </c>
      <c r="J120" s="1">
        <v>231</v>
      </c>
      <c r="K120">
        <v>8</v>
      </c>
      <c r="L120">
        <v>25.418307739140499</v>
      </c>
      <c r="M120">
        <v>7.4354100070190003E-4</v>
      </c>
      <c r="N120" s="1">
        <v>400</v>
      </c>
      <c r="O120">
        <v>1</v>
      </c>
      <c r="P120">
        <v>9.4444748485060508</v>
      </c>
      <c r="Q120">
        <v>5.7954207999955501E-2</v>
      </c>
      <c r="R120" t="e">
        <f t="shared" si="3"/>
        <v>#N/A</v>
      </c>
      <c r="S120" s="1"/>
      <c r="T120">
        <f t="shared" si="2"/>
        <v>0</v>
      </c>
    </row>
    <row r="121" spans="1:20" x14ac:dyDescent="0.25">
      <c r="A121" t="s">
        <v>48</v>
      </c>
      <c r="B121" t="s">
        <v>79</v>
      </c>
      <c r="C121" t="s">
        <v>11</v>
      </c>
      <c r="D121" t="s">
        <v>84</v>
      </c>
      <c r="E121" s="2">
        <v>701</v>
      </c>
      <c r="F121" s="1">
        <v>229633</v>
      </c>
      <c r="G121">
        <v>10</v>
      </c>
      <c r="H121">
        <v>5609.7369338859198</v>
      </c>
      <c r="I121">
        <v>2.2448151669996101</v>
      </c>
      <c r="J121" s="1">
        <v>18293</v>
      </c>
      <c r="K121">
        <v>27</v>
      </c>
      <c r="L121">
        <v>4685.8555701611704</v>
      </c>
      <c r="M121">
        <v>4.4345540998619898E-2</v>
      </c>
      <c r="N121" s="1">
        <v>400</v>
      </c>
      <c r="O121">
        <v>51</v>
      </c>
      <c r="P121">
        <v>4195.5930763914603</v>
      </c>
      <c r="Q121">
        <v>2.4590465410001299</v>
      </c>
      <c r="R121" t="e">
        <f t="shared" si="3"/>
        <v>#N/A</v>
      </c>
      <c r="S121" s="1"/>
      <c r="T121">
        <f t="shared" si="2"/>
        <v>0</v>
      </c>
    </row>
    <row r="122" spans="1:20" x14ac:dyDescent="0.25">
      <c r="A122" t="s">
        <v>48</v>
      </c>
      <c r="B122" t="s">
        <v>79</v>
      </c>
      <c r="C122" t="s">
        <v>13</v>
      </c>
      <c r="D122" t="s">
        <v>84</v>
      </c>
      <c r="E122" s="2">
        <v>701</v>
      </c>
      <c r="F122" s="1">
        <v>229633</v>
      </c>
      <c r="G122">
        <v>10</v>
      </c>
      <c r="H122">
        <v>57.455558031181397</v>
      </c>
      <c r="I122">
        <v>2.32647041699965</v>
      </c>
      <c r="J122" s="1">
        <v>1381</v>
      </c>
      <c r="K122">
        <v>10</v>
      </c>
      <c r="L122">
        <v>70.301732663863604</v>
      </c>
      <c r="M122">
        <v>4.3157090003659998E-3</v>
      </c>
      <c r="N122" s="1">
        <v>400</v>
      </c>
      <c r="O122">
        <v>4</v>
      </c>
      <c r="P122">
        <v>44.195286503525899</v>
      </c>
      <c r="Q122">
        <v>1.1796033339996901</v>
      </c>
      <c r="R122" t="e">
        <f t="shared" si="3"/>
        <v>#N/A</v>
      </c>
      <c r="S122" s="1"/>
      <c r="T122">
        <f t="shared" si="2"/>
        <v>1</v>
      </c>
    </row>
    <row r="123" spans="1:20" x14ac:dyDescent="0.25">
      <c r="A123" t="s">
        <v>85</v>
      </c>
      <c r="B123" t="s">
        <v>55</v>
      </c>
      <c r="C123" t="s">
        <v>11</v>
      </c>
      <c r="D123" t="s">
        <v>86</v>
      </c>
      <c r="E123" s="2">
        <v>253</v>
      </c>
      <c r="F123" s="1">
        <v>25121</v>
      </c>
      <c r="G123">
        <v>10</v>
      </c>
      <c r="H123">
        <v>237.49599195056999</v>
      </c>
      <c r="I123">
        <v>0.17698612499953001</v>
      </c>
      <c r="J123" s="1">
        <v>9120</v>
      </c>
      <c r="K123">
        <v>6</v>
      </c>
      <c r="L123">
        <v>341.68928982818898</v>
      </c>
      <c r="M123">
        <v>2.04869579993101E-2</v>
      </c>
      <c r="N123" s="1">
        <v>400</v>
      </c>
      <c r="O123">
        <v>21</v>
      </c>
      <c r="P123">
        <v>122.851925663873</v>
      </c>
      <c r="Q123">
        <v>0.65202587499970799</v>
      </c>
      <c r="R123" t="e">
        <f t="shared" si="3"/>
        <v>#N/A</v>
      </c>
      <c r="S123" s="1"/>
      <c r="T123">
        <f t="shared" si="2"/>
        <v>0</v>
      </c>
    </row>
    <row r="124" spans="1:20" x14ac:dyDescent="0.25">
      <c r="A124" t="s">
        <v>85</v>
      </c>
      <c r="B124" t="s">
        <v>55</v>
      </c>
      <c r="C124" t="s">
        <v>13</v>
      </c>
      <c r="D124" t="s">
        <v>86</v>
      </c>
      <c r="E124" s="2">
        <v>253</v>
      </c>
      <c r="F124" s="1">
        <v>25121</v>
      </c>
      <c r="G124">
        <v>10</v>
      </c>
      <c r="H124">
        <v>2.6444225106603598</v>
      </c>
      <c r="I124">
        <v>0.15549454200117899</v>
      </c>
      <c r="J124" s="1">
        <v>484</v>
      </c>
      <c r="K124">
        <v>0</v>
      </c>
      <c r="L124">
        <v>0.51316327665553096</v>
      </c>
      <c r="M124">
        <v>1.3788329997623E-3</v>
      </c>
      <c r="N124" s="1">
        <v>400</v>
      </c>
      <c r="O124">
        <v>1</v>
      </c>
      <c r="P124">
        <v>0.51316327665538497</v>
      </c>
      <c r="Q124">
        <v>0.122825334000026</v>
      </c>
      <c r="R124" t="e">
        <f t="shared" si="3"/>
        <v>#N/A</v>
      </c>
      <c r="S124" s="1"/>
      <c r="T124">
        <f t="shared" si="2"/>
        <v>0</v>
      </c>
    </row>
    <row r="125" spans="1:20" x14ac:dyDescent="0.25">
      <c r="A125" t="s">
        <v>85</v>
      </c>
      <c r="B125" t="s">
        <v>55</v>
      </c>
      <c r="C125" t="s">
        <v>11</v>
      </c>
      <c r="D125" t="s">
        <v>87</v>
      </c>
      <c r="E125" s="2">
        <v>265</v>
      </c>
      <c r="F125" s="1">
        <v>27983</v>
      </c>
      <c r="G125">
        <v>10</v>
      </c>
      <c r="H125">
        <v>509.48857112803501</v>
      </c>
      <c r="I125">
        <v>0.19948004199977701</v>
      </c>
      <c r="J125" s="1">
        <v>9470</v>
      </c>
      <c r="K125">
        <v>7</v>
      </c>
      <c r="L125">
        <v>573.13358557472395</v>
      </c>
      <c r="M125">
        <v>2.15393329999642E-2</v>
      </c>
      <c r="N125" s="1">
        <v>400</v>
      </c>
      <c r="O125">
        <v>16</v>
      </c>
      <c r="P125">
        <v>379.66581982989601</v>
      </c>
      <c r="Q125">
        <v>0.75518312500025697</v>
      </c>
      <c r="R125" t="e">
        <f t="shared" si="3"/>
        <v>#N/A</v>
      </c>
      <c r="S125" s="1"/>
      <c r="T125">
        <f t="shared" si="2"/>
        <v>0</v>
      </c>
    </row>
    <row r="126" spans="1:20" x14ac:dyDescent="0.25">
      <c r="A126" t="s">
        <v>85</v>
      </c>
      <c r="B126" t="s">
        <v>55</v>
      </c>
      <c r="C126" t="s">
        <v>13</v>
      </c>
      <c r="D126" t="s">
        <v>87</v>
      </c>
      <c r="E126" s="2">
        <v>265</v>
      </c>
      <c r="F126" s="1">
        <v>27983</v>
      </c>
      <c r="G126">
        <v>10</v>
      </c>
      <c r="H126">
        <v>4.03804049163492</v>
      </c>
      <c r="I126">
        <v>0.179928333000134</v>
      </c>
      <c r="J126" s="1">
        <v>508</v>
      </c>
      <c r="K126">
        <v>0</v>
      </c>
      <c r="L126">
        <v>0.55770480110248</v>
      </c>
      <c r="M126">
        <v>1.4672079996671001E-3</v>
      </c>
      <c r="N126" s="1">
        <v>400</v>
      </c>
      <c r="O126">
        <v>1</v>
      </c>
      <c r="P126">
        <v>0.55770480110249698</v>
      </c>
      <c r="Q126">
        <v>0.12633383299998899</v>
      </c>
      <c r="R126" t="e">
        <f t="shared" si="3"/>
        <v>#N/A</v>
      </c>
      <c r="S126" s="1"/>
      <c r="T126">
        <f t="shared" si="2"/>
        <v>0</v>
      </c>
    </row>
    <row r="127" spans="1:20" x14ac:dyDescent="0.25">
      <c r="A127" t="s">
        <v>85</v>
      </c>
      <c r="B127" t="s">
        <v>55</v>
      </c>
      <c r="C127" t="s">
        <v>11</v>
      </c>
      <c r="D127" t="s">
        <v>88</v>
      </c>
      <c r="E127" s="2">
        <v>253</v>
      </c>
      <c r="F127" s="1">
        <v>25121</v>
      </c>
      <c r="G127">
        <v>10</v>
      </c>
      <c r="H127">
        <v>-718.84661716963603</v>
      </c>
      <c r="I127">
        <v>0.17840450000039701</v>
      </c>
      <c r="J127" s="1">
        <v>6436</v>
      </c>
      <c r="K127">
        <v>6</v>
      </c>
      <c r="L127">
        <v>-651.70088755723998</v>
      </c>
      <c r="M127">
        <v>1.8090666999341899E-2</v>
      </c>
      <c r="N127" s="1">
        <v>400</v>
      </c>
      <c r="O127">
        <v>19</v>
      </c>
      <c r="P127">
        <v>-829.23183815253003</v>
      </c>
      <c r="Q127">
        <v>0.630409290999978</v>
      </c>
      <c r="R127" t="e">
        <f t="shared" si="3"/>
        <v>#N/A</v>
      </c>
      <c r="S127" s="1"/>
      <c r="T127">
        <f t="shared" si="2"/>
        <v>0</v>
      </c>
    </row>
    <row r="128" spans="1:20" x14ac:dyDescent="0.25">
      <c r="A128" t="s">
        <v>85</v>
      </c>
      <c r="B128" t="s">
        <v>55</v>
      </c>
      <c r="C128" t="s">
        <v>13</v>
      </c>
      <c r="D128" t="s">
        <v>88</v>
      </c>
      <c r="E128" s="2">
        <v>253</v>
      </c>
      <c r="F128" s="1">
        <v>25121</v>
      </c>
      <c r="G128">
        <v>10</v>
      </c>
      <c r="H128">
        <v>0.36288176229595598</v>
      </c>
      <c r="I128">
        <v>0.15874199999961999</v>
      </c>
      <c r="J128" s="1">
        <v>484</v>
      </c>
      <c r="K128">
        <v>0</v>
      </c>
      <c r="L128">
        <v>8.7045744624384996E-2</v>
      </c>
      <c r="M128">
        <v>1.3988749997224E-3</v>
      </c>
      <c r="N128" s="1">
        <v>400</v>
      </c>
      <c r="O128">
        <v>1</v>
      </c>
      <c r="P128">
        <v>8.7045744624383706E-2</v>
      </c>
      <c r="Q128">
        <v>0.120075874999656</v>
      </c>
      <c r="R128" t="e">
        <f t="shared" si="3"/>
        <v>#N/A</v>
      </c>
      <c r="S128" s="1"/>
      <c r="T128">
        <f t="shared" si="2"/>
        <v>0</v>
      </c>
    </row>
    <row r="129" spans="1:20" x14ac:dyDescent="0.25">
      <c r="A129" t="s">
        <v>85</v>
      </c>
      <c r="B129" t="s">
        <v>55</v>
      </c>
      <c r="C129" t="s">
        <v>11</v>
      </c>
      <c r="D129" t="s">
        <v>89</v>
      </c>
      <c r="E129" s="2">
        <v>253</v>
      </c>
      <c r="F129" s="1">
        <v>25121</v>
      </c>
      <c r="G129">
        <v>10</v>
      </c>
      <c r="H129">
        <v>-554.27495568354902</v>
      </c>
      <c r="I129">
        <v>0.17979979099982299</v>
      </c>
      <c r="J129" s="1">
        <v>8079</v>
      </c>
      <c r="K129">
        <v>5</v>
      </c>
      <c r="L129">
        <v>-417.95573293753</v>
      </c>
      <c r="M129">
        <v>1.8318124999495901E-2</v>
      </c>
      <c r="N129" s="1">
        <v>400</v>
      </c>
      <c r="O129">
        <v>19</v>
      </c>
      <c r="P129">
        <v>-649.95310368268895</v>
      </c>
      <c r="Q129">
        <v>0.60547320800014803</v>
      </c>
      <c r="R129" t="e">
        <f t="shared" si="3"/>
        <v>#N/A</v>
      </c>
      <c r="S129" s="1"/>
      <c r="T129">
        <f t="shared" si="2"/>
        <v>0</v>
      </c>
    </row>
    <row r="130" spans="1:20" x14ac:dyDescent="0.25">
      <c r="A130" t="s">
        <v>85</v>
      </c>
      <c r="B130" t="s">
        <v>55</v>
      </c>
      <c r="C130" t="s">
        <v>13</v>
      </c>
      <c r="D130" t="s">
        <v>89</v>
      </c>
      <c r="E130" s="2">
        <v>253</v>
      </c>
      <c r="F130" s="1">
        <v>25121</v>
      </c>
      <c r="G130">
        <v>10</v>
      </c>
      <c r="H130">
        <v>0.48962739096646901</v>
      </c>
      <c r="I130">
        <v>0.15651754099963</v>
      </c>
      <c r="J130" s="1">
        <v>484</v>
      </c>
      <c r="K130">
        <v>0</v>
      </c>
      <c r="L130">
        <v>9.9297726530906405E-2</v>
      </c>
      <c r="M130">
        <v>1.3861669995094E-3</v>
      </c>
      <c r="N130" s="1">
        <v>400</v>
      </c>
      <c r="O130">
        <v>1</v>
      </c>
      <c r="P130">
        <v>9.9297726530855696E-2</v>
      </c>
      <c r="Q130">
        <v>0.124272667000241</v>
      </c>
      <c r="R130" t="e">
        <f t="shared" si="3"/>
        <v>#N/A</v>
      </c>
      <c r="S130" s="1"/>
      <c r="T130">
        <f t="shared" si="2"/>
        <v>0</v>
      </c>
    </row>
    <row r="131" spans="1:20" x14ac:dyDescent="0.25">
      <c r="A131" t="s">
        <v>85</v>
      </c>
      <c r="B131" t="s">
        <v>55</v>
      </c>
      <c r="C131" t="s">
        <v>11</v>
      </c>
      <c r="D131" t="s">
        <v>90</v>
      </c>
      <c r="E131" s="2">
        <v>253</v>
      </c>
      <c r="F131" s="1">
        <v>25121</v>
      </c>
      <c r="G131">
        <v>10</v>
      </c>
      <c r="H131">
        <v>-426.17317138350597</v>
      </c>
      <c r="I131">
        <v>0.174524416999702</v>
      </c>
      <c r="J131" s="1">
        <v>11039</v>
      </c>
      <c r="K131">
        <v>4</v>
      </c>
      <c r="L131">
        <v>-271.06305628852903</v>
      </c>
      <c r="M131">
        <v>2.45851250001578E-2</v>
      </c>
      <c r="N131" s="1">
        <v>400</v>
      </c>
      <c r="O131">
        <v>14</v>
      </c>
      <c r="P131">
        <v>-492.02303819033398</v>
      </c>
      <c r="Q131">
        <v>0.65139420800005599</v>
      </c>
      <c r="R131" t="e">
        <f t="shared" si="3"/>
        <v>#N/A</v>
      </c>
      <c r="S131" s="1"/>
      <c r="T131">
        <f t="shared" ref="T131:T142" si="4">IF(G131=K131,1,0)</f>
        <v>0</v>
      </c>
    </row>
    <row r="132" spans="1:20" x14ac:dyDescent="0.25">
      <c r="A132" t="s">
        <v>85</v>
      </c>
      <c r="B132" t="s">
        <v>55</v>
      </c>
      <c r="C132" t="s">
        <v>13</v>
      </c>
      <c r="D132" t="s">
        <v>90</v>
      </c>
      <c r="E132" s="2">
        <v>253</v>
      </c>
      <c r="F132" s="1">
        <v>25121</v>
      </c>
      <c r="G132">
        <v>10</v>
      </c>
      <c r="H132">
        <v>0.71463241557530399</v>
      </c>
      <c r="I132">
        <v>0.15579900000011501</v>
      </c>
      <c r="J132" s="1">
        <v>484</v>
      </c>
      <c r="K132">
        <v>0</v>
      </c>
      <c r="L132">
        <v>8.6744994299066E-2</v>
      </c>
      <c r="M132">
        <v>1.3917080013925E-3</v>
      </c>
      <c r="N132" s="1">
        <v>400</v>
      </c>
      <c r="O132">
        <v>1</v>
      </c>
      <c r="P132">
        <v>8.67449942990592E-2</v>
      </c>
      <c r="Q132">
        <v>0.120990667000114</v>
      </c>
      <c r="R132" t="e">
        <f t="shared" ref="R132:R142" si="5">IF(O132=G132,(P132-H132)/H132,NA())</f>
        <v>#N/A</v>
      </c>
      <c r="S132" s="1"/>
      <c r="T132">
        <f t="shared" si="4"/>
        <v>0</v>
      </c>
    </row>
    <row r="133" spans="1:20" x14ac:dyDescent="0.25">
      <c r="A133" t="s">
        <v>85</v>
      </c>
      <c r="B133" t="s">
        <v>55</v>
      </c>
      <c r="C133" t="s">
        <v>11</v>
      </c>
      <c r="D133" t="s">
        <v>91</v>
      </c>
      <c r="E133" s="2">
        <v>265</v>
      </c>
      <c r="F133" s="1">
        <v>27983</v>
      </c>
      <c r="G133">
        <v>10</v>
      </c>
      <c r="H133">
        <v>-411.60512030099397</v>
      </c>
      <c r="I133">
        <v>0.16562833299940299</v>
      </c>
      <c r="J133" s="1">
        <v>8620</v>
      </c>
      <c r="K133">
        <v>7</v>
      </c>
      <c r="L133">
        <v>-345.298861218497</v>
      </c>
      <c r="M133">
        <v>1.9361624999874E-2</v>
      </c>
      <c r="N133" s="1">
        <v>400</v>
      </c>
      <c r="O133">
        <v>17</v>
      </c>
      <c r="P133">
        <v>-528.201260866349</v>
      </c>
      <c r="Q133">
        <v>0.72859187499989198</v>
      </c>
      <c r="R133" t="e">
        <f t="shared" si="5"/>
        <v>#N/A</v>
      </c>
      <c r="S133" s="1"/>
      <c r="T133">
        <f t="shared" si="4"/>
        <v>0</v>
      </c>
    </row>
    <row r="134" spans="1:20" x14ac:dyDescent="0.25">
      <c r="A134" t="s">
        <v>85</v>
      </c>
      <c r="B134" t="s">
        <v>55</v>
      </c>
      <c r="C134" t="s">
        <v>13</v>
      </c>
      <c r="D134" t="s">
        <v>91</v>
      </c>
      <c r="E134" s="2">
        <v>265</v>
      </c>
      <c r="F134" s="1">
        <v>27983</v>
      </c>
      <c r="G134">
        <v>10</v>
      </c>
      <c r="H134">
        <v>0.67534196107888</v>
      </c>
      <c r="I134">
        <v>0.17467441600092501</v>
      </c>
      <c r="J134" s="1">
        <v>508</v>
      </c>
      <c r="K134">
        <v>0</v>
      </c>
      <c r="L134">
        <v>7.66346057269119E-2</v>
      </c>
      <c r="M134">
        <v>1.4427080004679E-3</v>
      </c>
      <c r="N134" s="1">
        <v>400</v>
      </c>
      <c r="O134">
        <v>1</v>
      </c>
      <c r="P134">
        <v>7.6634605726909402E-2</v>
      </c>
      <c r="Q134">
        <v>0.12785075000010601</v>
      </c>
      <c r="R134" t="e">
        <f t="shared" si="5"/>
        <v>#N/A</v>
      </c>
      <c r="S134" s="1"/>
      <c r="T134">
        <f t="shared" si="4"/>
        <v>0</v>
      </c>
    </row>
    <row r="135" spans="1:20" x14ac:dyDescent="0.25">
      <c r="A135" t="s">
        <v>85</v>
      </c>
      <c r="B135" t="s">
        <v>55</v>
      </c>
      <c r="C135" t="s">
        <v>11</v>
      </c>
      <c r="D135" t="s">
        <v>92</v>
      </c>
      <c r="E135" s="2">
        <v>253</v>
      </c>
      <c r="F135" s="1">
        <v>25121</v>
      </c>
      <c r="G135">
        <v>10</v>
      </c>
      <c r="H135">
        <v>94.308233664354603</v>
      </c>
      <c r="I135">
        <v>0.148520208000263</v>
      </c>
      <c r="J135" s="1">
        <v>8882</v>
      </c>
      <c r="K135">
        <v>5</v>
      </c>
      <c r="L135">
        <v>213.33504255518099</v>
      </c>
      <c r="M135">
        <v>2.00979580004059E-2</v>
      </c>
      <c r="N135" s="1">
        <v>400</v>
      </c>
      <c r="O135">
        <v>16</v>
      </c>
      <c r="P135">
        <v>27.336195059970301</v>
      </c>
      <c r="Q135">
        <v>0.70501200000035102</v>
      </c>
      <c r="R135" t="e">
        <f t="shared" si="5"/>
        <v>#N/A</v>
      </c>
      <c r="S135" s="1"/>
      <c r="T135">
        <f t="shared" si="4"/>
        <v>0</v>
      </c>
    </row>
    <row r="136" spans="1:20" x14ac:dyDescent="0.25">
      <c r="A136" t="s">
        <v>85</v>
      </c>
      <c r="B136" t="s">
        <v>55</v>
      </c>
      <c r="C136" t="s">
        <v>13</v>
      </c>
      <c r="D136" t="s">
        <v>92</v>
      </c>
      <c r="E136" s="2">
        <v>253</v>
      </c>
      <c r="F136" s="1">
        <v>25121</v>
      </c>
      <c r="G136">
        <v>10</v>
      </c>
      <c r="H136">
        <v>1.9209836508743301</v>
      </c>
      <c r="I136">
        <v>0.181083915998897</v>
      </c>
      <c r="J136" s="1">
        <v>484</v>
      </c>
      <c r="K136">
        <v>0</v>
      </c>
      <c r="L136">
        <v>0.29300027570884102</v>
      </c>
      <c r="M136">
        <v>1.3975420006318E-3</v>
      </c>
      <c r="N136" s="1">
        <v>400</v>
      </c>
      <c r="O136">
        <v>1</v>
      </c>
      <c r="P136">
        <v>0.29300027570883003</v>
      </c>
      <c r="Q136">
        <v>0.12448458399967401</v>
      </c>
      <c r="R136" t="e">
        <f t="shared" si="5"/>
        <v>#N/A</v>
      </c>
      <c r="S136" s="1"/>
      <c r="T136">
        <f t="shared" si="4"/>
        <v>0</v>
      </c>
    </row>
    <row r="137" spans="1:20" x14ac:dyDescent="0.25">
      <c r="A137" t="s">
        <v>85</v>
      </c>
      <c r="B137" t="s">
        <v>55</v>
      </c>
      <c r="C137" t="s">
        <v>11</v>
      </c>
      <c r="D137" t="s">
        <v>93</v>
      </c>
      <c r="E137" s="2">
        <v>253</v>
      </c>
      <c r="F137" s="1">
        <v>25121</v>
      </c>
      <c r="G137">
        <v>10</v>
      </c>
      <c r="H137">
        <v>121.345629111354</v>
      </c>
      <c r="I137">
        <v>0.14911933299845201</v>
      </c>
      <c r="J137" s="1">
        <v>8684</v>
      </c>
      <c r="K137">
        <v>5</v>
      </c>
      <c r="L137">
        <v>238.995337271127</v>
      </c>
      <c r="M137">
        <v>1.9321042000228699E-2</v>
      </c>
      <c r="N137" s="1">
        <v>400</v>
      </c>
      <c r="O137">
        <v>16</v>
      </c>
      <c r="P137">
        <v>67.075420467215096</v>
      </c>
      <c r="Q137">
        <v>0.63089312499960204</v>
      </c>
      <c r="R137" t="e">
        <f t="shared" si="5"/>
        <v>#N/A</v>
      </c>
      <c r="S137" s="1"/>
      <c r="T137">
        <f t="shared" si="4"/>
        <v>0</v>
      </c>
    </row>
    <row r="138" spans="1:20" x14ac:dyDescent="0.25">
      <c r="A138" t="s">
        <v>85</v>
      </c>
      <c r="B138" t="s">
        <v>55</v>
      </c>
      <c r="C138" t="s">
        <v>13</v>
      </c>
      <c r="D138" t="s">
        <v>93</v>
      </c>
      <c r="E138" s="2">
        <v>253</v>
      </c>
      <c r="F138" s="1">
        <v>25121</v>
      </c>
      <c r="G138">
        <v>10</v>
      </c>
      <c r="H138">
        <v>1.9739321314465901</v>
      </c>
      <c r="I138">
        <v>0.18409754200001699</v>
      </c>
      <c r="J138" s="1">
        <v>484</v>
      </c>
      <c r="K138">
        <v>0</v>
      </c>
      <c r="L138">
        <v>0.39529448143753099</v>
      </c>
      <c r="M138">
        <v>1.4193329989211001E-3</v>
      </c>
      <c r="N138" s="1">
        <v>400</v>
      </c>
      <c r="O138">
        <v>1</v>
      </c>
      <c r="P138">
        <v>0.395294481437517</v>
      </c>
      <c r="Q138">
        <v>0.12427366699967</v>
      </c>
      <c r="R138" t="e">
        <f t="shared" si="5"/>
        <v>#N/A</v>
      </c>
      <c r="S138" s="1"/>
      <c r="T138">
        <f t="shared" si="4"/>
        <v>0</v>
      </c>
    </row>
    <row r="139" spans="1:20" x14ac:dyDescent="0.25">
      <c r="A139" t="s">
        <v>85</v>
      </c>
      <c r="B139" t="s">
        <v>55</v>
      </c>
      <c r="C139" t="s">
        <v>11</v>
      </c>
      <c r="D139" t="s">
        <v>94</v>
      </c>
      <c r="E139" s="2">
        <v>253</v>
      </c>
      <c r="F139" s="1">
        <v>25121</v>
      </c>
      <c r="G139">
        <v>10</v>
      </c>
      <c r="H139">
        <v>-487.78510779767998</v>
      </c>
      <c r="I139">
        <v>0.14993870800026299</v>
      </c>
      <c r="J139" s="1">
        <v>10260</v>
      </c>
      <c r="K139">
        <v>6</v>
      </c>
      <c r="L139">
        <v>-390.94840042505098</v>
      </c>
      <c r="M139">
        <v>2.3314500000196799E-2</v>
      </c>
      <c r="N139" s="1">
        <v>400</v>
      </c>
      <c r="O139">
        <v>21</v>
      </c>
      <c r="P139">
        <v>-677.50276723169895</v>
      </c>
      <c r="Q139">
        <v>0.70432870800004799</v>
      </c>
      <c r="R139" t="e">
        <f t="shared" si="5"/>
        <v>#N/A</v>
      </c>
      <c r="S139" s="1"/>
      <c r="T139">
        <f t="shared" si="4"/>
        <v>0</v>
      </c>
    </row>
    <row r="140" spans="1:20" x14ac:dyDescent="0.25">
      <c r="A140" t="s">
        <v>85</v>
      </c>
      <c r="B140" t="s">
        <v>55</v>
      </c>
      <c r="C140" t="s">
        <v>13</v>
      </c>
      <c r="D140" t="s">
        <v>94</v>
      </c>
      <c r="E140" s="2">
        <v>253</v>
      </c>
      <c r="F140" s="1">
        <v>25121</v>
      </c>
      <c r="G140">
        <v>10</v>
      </c>
      <c r="H140">
        <v>0.589659790018496</v>
      </c>
      <c r="I140">
        <v>0.18454125000061999</v>
      </c>
      <c r="J140" s="1">
        <v>484</v>
      </c>
      <c r="K140">
        <v>0</v>
      </c>
      <c r="L140">
        <v>8.0408618615301894E-2</v>
      </c>
      <c r="M140">
        <v>1.4290830004028E-3</v>
      </c>
      <c r="N140" s="1">
        <v>400</v>
      </c>
      <c r="O140">
        <v>1</v>
      </c>
      <c r="P140">
        <v>8.0408618615302394E-2</v>
      </c>
      <c r="Q140">
        <v>0.125591583000186</v>
      </c>
      <c r="R140" t="e">
        <f t="shared" si="5"/>
        <v>#N/A</v>
      </c>
      <c r="S140" s="1"/>
      <c r="T140">
        <f t="shared" si="4"/>
        <v>0</v>
      </c>
    </row>
    <row r="141" spans="1:20" x14ac:dyDescent="0.25">
      <c r="A141" t="s">
        <v>85</v>
      </c>
      <c r="B141" t="s">
        <v>55</v>
      </c>
      <c r="C141" t="s">
        <v>11</v>
      </c>
      <c r="D141" t="s">
        <v>95</v>
      </c>
      <c r="E141" s="2">
        <v>265</v>
      </c>
      <c r="F141" s="1">
        <v>27983</v>
      </c>
      <c r="G141">
        <v>10</v>
      </c>
      <c r="H141">
        <v>-313.549685215029</v>
      </c>
      <c r="I141">
        <v>0.165621416999783</v>
      </c>
      <c r="J141" s="1">
        <v>11746</v>
      </c>
      <c r="K141">
        <v>5</v>
      </c>
      <c r="L141">
        <v>-184.12480472781601</v>
      </c>
      <c r="M141">
        <v>2.6730167001005601E-2</v>
      </c>
      <c r="N141" s="1">
        <v>400</v>
      </c>
      <c r="O141">
        <v>17</v>
      </c>
      <c r="P141">
        <v>-411.42965717254202</v>
      </c>
      <c r="Q141">
        <v>0.76504129200020499</v>
      </c>
      <c r="R141" t="e">
        <f t="shared" si="5"/>
        <v>#N/A</v>
      </c>
      <c r="S141" s="1"/>
      <c r="T141">
        <f t="shared" si="4"/>
        <v>0</v>
      </c>
    </row>
    <row r="142" spans="1:20" x14ac:dyDescent="0.25">
      <c r="A142" t="s">
        <v>85</v>
      </c>
      <c r="B142" t="s">
        <v>55</v>
      </c>
      <c r="C142" t="s">
        <v>13</v>
      </c>
      <c r="D142" t="s">
        <v>95</v>
      </c>
      <c r="E142" s="2">
        <v>265</v>
      </c>
      <c r="F142" s="1">
        <v>27983</v>
      </c>
      <c r="G142">
        <v>10</v>
      </c>
      <c r="H142">
        <v>0.75070763448813305</v>
      </c>
      <c r="I142">
        <v>0.20352366699989899</v>
      </c>
      <c r="J142" s="1">
        <v>508</v>
      </c>
      <c r="K142">
        <v>0</v>
      </c>
      <c r="L142">
        <v>0.131552070936343</v>
      </c>
      <c r="M142">
        <v>1.51266700049745E-3</v>
      </c>
      <c r="N142" s="1">
        <v>400</v>
      </c>
      <c r="O142">
        <v>1</v>
      </c>
      <c r="P142">
        <v>0.13155207093633101</v>
      </c>
      <c r="Q142">
        <v>0.12702475000014599</v>
      </c>
      <c r="R142" t="e">
        <f t="shared" si="5"/>
        <v>#N/A</v>
      </c>
      <c r="S142" s="1"/>
      <c r="T142">
        <f t="shared" si="4"/>
        <v>0</v>
      </c>
    </row>
  </sheetData>
  <conditionalFormatting sqref="T3:T142">
    <cfRule type="cellIs" dxfId="0" priority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2026-03-13T07:57:58Z</dcterms:created>
  <dcterms:modified xsi:type="dcterms:W3CDTF">2026-03-13T09:44:04Z</dcterms:modified>
</cp:coreProperties>
</file>