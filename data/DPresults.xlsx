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segmentation\data\"/>
    </mc:Choice>
  </mc:AlternateContent>
  <xr:revisionPtr revIDLastSave="0" documentId="13_ncr:1_{5EE264C7-7AF5-457C-8509-38E363B5E6E8}" xr6:coauthVersionLast="47" xr6:coauthVersionMax="47" xr10:uidLastSave="{00000000-0000-0000-0000-000000000000}"/>
  <bookViews>
    <workbookView xWindow="768" yWindow="768" windowWidth="18372" windowHeight="12888" xr2:uid="{7E3558C8-CB49-46FB-8C25-B70FF8305F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</calcChain>
</file>

<file path=xl/sharedStrings.xml><?xml version="1.0" encoding="utf-8"?>
<sst xmlns="http://schemas.openxmlformats.org/spreadsheetml/2006/main" count="581" uniqueCount="100">
  <si>
    <t>benchmark</t>
  </si>
  <si>
    <t>category</t>
  </si>
  <si>
    <t>cost</t>
  </si>
  <si>
    <t>series_id</t>
  </si>
  <si>
    <t>npoints</t>
  </si>
  <si>
    <t>nruns</t>
  </si>
  <si>
    <t>nsegm</t>
  </si>
  <si>
    <t>total_cost</t>
  </si>
  <si>
    <t>time_sec</t>
  </si>
  <si>
    <t>M3</t>
  </si>
  <si>
    <t xml:space="preserve">DEMOGRAPHIC </t>
  </si>
  <si>
    <t>AIC</t>
  </si>
  <si>
    <t>N2745</t>
  </si>
  <si>
    <t>QRMSE</t>
  </si>
  <si>
    <t>N2677</t>
  </si>
  <si>
    <t>N2671</t>
  </si>
  <si>
    <t>N2751</t>
  </si>
  <si>
    <t>N2774</t>
  </si>
  <si>
    <t xml:space="preserve">FINANCE     </t>
  </si>
  <si>
    <t>N2852</t>
  </si>
  <si>
    <t>N2564</t>
  </si>
  <si>
    <t>N2613</t>
  </si>
  <si>
    <t>N2582</t>
  </si>
  <si>
    <t>N2602</t>
  </si>
  <si>
    <t xml:space="preserve">INDUSTRY    </t>
  </si>
  <si>
    <t>N1901</t>
  </si>
  <si>
    <t>N2186</t>
  </si>
  <si>
    <t>N1950</t>
  </si>
  <si>
    <t>N2072</t>
  </si>
  <si>
    <t>N1907</t>
  </si>
  <si>
    <t xml:space="preserve">MACRO       </t>
  </si>
  <si>
    <t>N2501</t>
  </si>
  <si>
    <t>N2219</t>
  </si>
  <si>
    <t>N2267</t>
  </si>
  <si>
    <t>N2270</t>
  </si>
  <si>
    <t>N2478</t>
  </si>
  <si>
    <t xml:space="preserve">MICRO       </t>
  </si>
  <si>
    <t>N1871</t>
  </si>
  <si>
    <t>N1435</t>
  </si>
  <si>
    <t>N1533</t>
  </si>
  <si>
    <t>N1474</t>
  </si>
  <si>
    <t>N1819</t>
  </si>
  <si>
    <t xml:space="preserve">OTHER       </t>
  </si>
  <si>
    <t>N2824</t>
  </si>
  <si>
    <t>N2948</t>
  </si>
  <si>
    <t>N2888</t>
  </si>
  <si>
    <t>N2955</t>
  </si>
  <si>
    <t>N2783</t>
  </si>
  <si>
    <t>M4</t>
  </si>
  <si>
    <t>Demographic</t>
  </si>
  <si>
    <t>Q11846</t>
  </si>
  <si>
    <t>Q11974</t>
  </si>
  <si>
    <t>Q12170</t>
  </si>
  <si>
    <t>Q12673</t>
  </si>
  <si>
    <t>Q13050</t>
  </si>
  <si>
    <t>Finance</t>
  </si>
  <si>
    <t>Q18638</t>
  </si>
  <si>
    <t>Q20501</t>
  </si>
  <si>
    <t>Q19518</t>
  </si>
  <si>
    <t>Q18530</t>
  </si>
  <si>
    <t>Q22221</t>
  </si>
  <si>
    <t>Industry</t>
  </si>
  <si>
    <t>Q15208</t>
  </si>
  <si>
    <t>Q16120</t>
  </si>
  <si>
    <t>Q16176</t>
  </si>
  <si>
    <t>Q14989</t>
  </si>
  <si>
    <t>Q15697</t>
  </si>
  <si>
    <t>Macro</t>
  </si>
  <si>
    <t>Q1988</t>
  </si>
  <si>
    <t>Q3770</t>
  </si>
  <si>
    <t>Q4038</t>
  </si>
  <si>
    <t>Q3957</t>
  </si>
  <si>
    <t>Q5109</t>
  </si>
  <si>
    <t>Micro</t>
  </si>
  <si>
    <t>Q11298</t>
  </si>
  <si>
    <t>Q9597</t>
  </si>
  <si>
    <t>Q9516</t>
  </si>
  <si>
    <t>Q9551</t>
  </si>
  <si>
    <t>Q10414</t>
  </si>
  <si>
    <t>Other</t>
  </si>
  <si>
    <t>Q23416</t>
  </si>
  <si>
    <t>Q23410</t>
  </si>
  <si>
    <t>Q23524</t>
  </si>
  <si>
    <t>Q23487</t>
  </si>
  <si>
    <t>Q23661</t>
  </si>
  <si>
    <t>M6</t>
  </si>
  <si>
    <t>ABBV</t>
  </si>
  <si>
    <t>COP</t>
  </si>
  <si>
    <t>EWG</t>
  </si>
  <si>
    <t>EWQ</t>
  </si>
  <si>
    <t>EWZ</t>
  </si>
  <si>
    <t>HST</t>
  </si>
  <si>
    <t>PYPL</t>
  </si>
  <si>
    <t>ROST</t>
  </si>
  <si>
    <t>SLV</t>
  </si>
  <si>
    <t>VXX</t>
  </si>
  <si>
    <t>Dynp</t>
  </si>
  <si>
    <t>PELT</t>
  </si>
  <si>
    <t>WBS</t>
  </si>
  <si>
    <t>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</si>
</sst>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3FC8-390D-4018-9A07-1C7FE899F7FD}">
  <dimension ref="A1:T142"/>
  <sheetViews>
    <sheetView tabSelected="1" workbookViewId="0">
      <selection activeCell="Q17" sqref="Q17"/>
    </sheetView>
  </sheetViews>
  <sheetFormatPr defaultRowHeight="14.4" x14ac:dyDescent="0.3"/>
  <cols>
    <col min="5" max="5" width="9.109375" style="2"/>
    <col min="6" max="6" width="9.109375" style="1"/>
    <col min="10" max="10" width="9.109375" style="1"/>
  </cols>
  <sheetData>
    <row r="1" spans="1:20" x14ac:dyDescent="0.3">
      <c r="F1" s="1" t="s">
        <v>96</v>
      </c>
      <c r="G1" s="1"/>
      <c r="J1" s="1" t="s">
        <v>97</v>
      </c>
      <c r="N1" s="1" t="s">
        <v>98</v>
      </c>
      <c r="S1" s="1"/>
    </row>
    <row r="2" spans="1:20" x14ac:dyDescent="0.3">
      <c r="A2" t="s">
        <v>0</v>
      </c>
      <c r="B2" t="s">
        <v>1</v>
      </c>
      <c r="C2" t="s">
        <v>2</v>
      </c>
      <c r="D2" t="s">
        <v>3</v>
      </c>
      <c r="E2" s="2" t="s">
        <v>4</v>
      </c>
      <c r="F2" s="1" t="s">
        <v>5</v>
      </c>
      <c r="G2" t="s">
        <v>6</v>
      </c>
      <c r="H2" t="s">
        <v>7</v>
      </c>
      <c r="I2" t="s">
        <v>8</v>
      </c>
      <c r="J2" t="s">
        <v>5</v>
      </c>
      <c r="K2" t="s">
        <v>6</v>
      </c>
      <c r="L2" t="s">
        <v>7</v>
      </c>
      <c r="M2" t="s">
        <v>8</v>
      </c>
      <c r="N2" t="s">
        <v>5</v>
      </c>
      <c r="O2" t="s">
        <v>6</v>
      </c>
      <c r="P2" t="s">
        <v>7</v>
      </c>
      <c r="Q2" t="s">
        <v>8</v>
      </c>
      <c r="R2" t="s">
        <v>99</v>
      </c>
      <c r="S2" s="1"/>
    </row>
    <row r="3" spans="1:20" x14ac:dyDescent="0.3">
      <c r="A3" t="s">
        <v>9</v>
      </c>
      <c r="B3" t="s">
        <v>10</v>
      </c>
      <c r="C3" t="s">
        <v>11</v>
      </c>
      <c r="D3" t="s">
        <v>12</v>
      </c>
      <c r="E3" s="2">
        <v>134</v>
      </c>
      <c r="F3">
        <v>4534</v>
      </c>
      <c r="G3">
        <v>10</v>
      </c>
      <c r="H3">
        <v>1501.1341522299799</v>
      </c>
      <c r="I3">
        <v>2.1276082999975101E-2</v>
      </c>
      <c r="J3">
        <v>4485</v>
      </c>
      <c r="K3">
        <v>3</v>
      </c>
      <c r="L3">
        <v>1649.31752903027</v>
      </c>
      <c r="M3">
        <v>1.01045419996808E-2</v>
      </c>
      <c r="N3">
        <v>400</v>
      </c>
      <c r="O3">
        <v>10</v>
      </c>
      <c r="P3">
        <v>1528.05676177343</v>
      </c>
      <c r="Q3">
        <v>0.273011874998701</v>
      </c>
      <c r="R3">
        <f>IF(O3=G3,(P3-H3)/H3,NA())</f>
        <v>1.7934845798728755E-2</v>
      </c>
      <c r="S3" s="1"/>
      <c r="T3">
        <f t="shared" ref="T3:T66" si="0">IF(G3=K3,1,0)</f>
        <v>0</v>
      </c>
    </row>
    <row r="4" spans="1:20" x14ac:dyDescent="0.3">
      <c r="A4" t="s">
        <v>9</v>
      </c>
      <c r="B4" t="s">
        <v>10</v>
      </c>
      <c r="C4" t="s">
        <v>13</v>
      </c>
      <c r="D4" t="s">
        <v>12</v>
      </c>
      <c r="E4" s="2">
        <v>134</v>
      </c>
      <c r="F4">
        <v>4534</v>
      </c>
      <c r="G4">
        <v>10</v>
      </c>
      <c r="H4">
        <v>3291883.60418437</v>
      </c>
      <c r="I4">
        <v>4.7866375000012298E-2</v>
      </c>
      <c r="J4">
        <v>246</v>
      </c>
      <c r="K4">
        <v>11</v>
      </c>
      <c r="L4">
        <v>3264695.3541827798</v>
      </c>
      <c r="M4">
        <v>8.3350000022609999E-4</v>
      </c>
      <c r="N4">
        <v>400</v>
      </c>
      <c r="O4">
        <v>12</v>
      </c>
      <c r="P4">
        <v>3657932.2330549699</v>
      </c>
      <c r="Q4">
        <v>0.23888441700000801</v>
      </c>
      <c r="R4" t="e">
        <f t="shared" ref="R4:R67" si="1">IF(O4=G4,(P4-H4)/H4,NA())</f>
        <v>#N/A</v>
      </c>
      <c r="S4" s="1"/>
      <c r="T4">
        <f t="shared" si="0"/>
        <v>0</v>
      </c>
    </row>
    <row r="5" spans="1:20" x14ac:dyDescent="0.3">
      <c r="A5" t="s">
        <v>9</v>
      </c>
      <c r="B5" t="s">
        <v>10</v>
      </c>
      <c r="C5" t="s">
        <v>11</v>
      </c>
      <c r="D5" t="s">
        <v>14</v>
      </c>
      <c r="E5" s="2">
        <v>135</v>
      </c>
      <c r="F5">
        <v>4648</v>
      </c>
      <c r="G5">
        <v>10</v>
      </c>
      <c r="H5">
        <v>487.94223846170701</v>
      </c>
      <c r="I5">
        <v>2.2873916999742502E-2</v>
      </c>
      <c r="J5">
        <v>2646</v>
      </c>
      <c r="K5">
        <v>7</v>
      </c>
      <c r="L5">
        <v>543.24317690561304</v>
      </c>
      <c r="M5">
        <v>5.9356250003474997E-3</v>
      </c>
      <c r="N5">
        <v>400</v>
      </c>
      <c r="O5">
        <v>11</v>
      </c>
      <c r="P5">
        <v>517.26024044328005</v>
      </c>
      <c r="Q5">
        <v>0.22914933299943999</v>
      </c>
      <c r="R5" t="e">
        <f t="shared" si="1"/>
        <v>#N/A</v>
      </c>
      <c r="S5" s="1"/>
      <c r="T5">
        <f t="shared" si="0"/>
        <v>0</v>
      </c>
    </row>
    <row r="6" spans="1:20" x14ac:dyDescent="0.3">
      <c r="A6" t="s">
        <v>9</v>
      </c>
      <c r="B6" t="s">
        <v>10</v>
      </c>
      <c r="C6" t="s">
        <v>13</v>
      </c>
      <c r="D6" t="s">
        <v>14</v>
      </c>
      <c r="E6" s="2">
        <v>135</v>
      </c>
      <c r="F6">
        <v>4648</v>
      </c>
      <c r="G6">
        <v>10</v>
      </c>
      <c r="H6">
        <v>1114.9842308963</v>
      </c>
      <c r="I6">
        <v>2.3841500000344198E-2</v>
      </c>
      <c r="J6">
        <v>511</v>
      </c>
      <c r="K6">
        <v>13</v>
      </c>
      <c r="L6">
        <v>937.07291010139102</v>
      </c>
      <c r="M6">
        <v>1.6085000006569E-3</v>
      </c>
      <c r="N6">
        <v>400</v>
      </c>
      <c r="O6">
        <v>14</v>
      </c>
      <c r="P6">
        <v>1063.39703097763</v>
      </c>
      <c r="Q6">
        <v>0.21516633300052401</v>
      </c>
      <c r="R6" t="e">
        <f t="shared" si="1"/>
        <v>#N/A</v>
      </c>
      <c r="S6" s="1"/>
      <c r="T6">
        <f t="shared" si="0"/>
        <v>0</v>
      </c>
    </row>
    <row r="7" spans="1:20" x14ac:dyDescent="0.3">
      <c r="A7" t="s">
        <v>9</v>
      </c>
      <c r="B7" t="s">
        <v>10</v>
      </c>
      <c r="C7" t="s">
        <v>11</v>
      </c>
      <c r="D7" t="s">
        <v>15</v>
      </c>
      <c r="E7" s="2">
        <v>135</v>
      </c>
      <c r="F7">
        <v>4648</v>
      </c>
      <c r="G7">
        <v>10</v>
      </c>
      <c r="H7">
        <v>1395.3675476954299</v>
      </c>
      <c r="I7">
        <v>2.1617624999635099E-2</v>
      </c>
      <c r="J7">
        <v>4217</v>
      </c>
      <c r="K7">
        <v>3</v>
      </c>
      <c r="L7">
        <v>1511.32616394252</v>
      </c>
      <c r="M7">
        <v>9.7446670006319999E-3</v>
      </c>
      <c r="N7">
        <v>400</v>
      </c>
      <c r="O7">
        <v>6</v>
      </c>
      <c r="P7">
        <v>1454.69206297967</v>
      </c>
      <c r="Q7">
        <v>0.25809791600113302</v>
      </c>
      <c r="R7" t="e">
        <f t="shared" si="1"/>
        <v>#N/A</v>
      </c>
      <c r="S7" s="1"/>
      <c r="T7">
        <f t="shared" si="0"/>
        <v>0</v>
      </c>
    </row>
    <row r="8" spans="1:20" x14ac:dyDescent="0.3">
      <c r="A8" t="s">
        <v>9</v>
      </c>
      <c r="B8" t="s">
        <v>10</v>
      </c>
      <c r="C8" t="s">
        <v>13</v>
      </c>
      <c r="D8" t="s">
        <v>15</v>
      </c>
      <c r="E8" s="2">
        <v>135</v>
      </c>
      <c r="F8">
        <v>4648</v>
      </c>
      <c r="G8">
        <v>10</v>
      </c>
      <c r="H8">
        <v>924219.09539905202</v>
      </c>
      <c r="I8">
        <v>3.0476790998363801E-2</v>
      </c>
      <c r="J8">
        <v>248</v>
      </c>
      <c r="K8">
        <v>11</v>
      </c>
      <c r="L8">
        <v>951613.16704728606</v>
      </c>
      <c r="M8">
        <v>8.4045800031160001E-4</v>
      </c>
      <c r="N8">
        <v>400</v>
      </c>
      <c r="O8">
        <v>12</v>
      </c>
      <c r="P8">
        <v>1053883.0514851999</v>
      </c>
      <c r="Q8">
        <v>0.216250458001013</v>
      </c>
      <c r="R8" t="e">
        <f t="shared" si="1"/>
        <v>#N/A</v>
      </c>
      <c r="S8" s="1"/>
      <c r="T8">
        <f t="shared" si="0"/>
        <v>0</v>
      </c>
    </row>
    <row r="9" spans="1:20" x14ac:dyDescent="0.3">
      <c r="A9" t="s">
        <v>9</v>
      </c>
      <c r="B9" t="s">
        <v>10</v>
      </c>
      <c r="C9" t="s">
        <v>11</v>
      </c>
      <c r="D9" t="s">
        <v>16</v>
      </c>
      <c r="E9" s="2">
        <v>71</v>
      </c>
      <c r="F9">
        <v>232</v>
      </c>
      <c r="G9">
        <v>8</v>
      </c>
      <c r="H9">
        <v>918.02557255422096</v>
      </c>
      <c r="I9">
        <v>9.0904200078509995E-4</v>
      </c>
      <c r="J9">
        <v>1181</v>
      </c>
      <c r="K9">
        <v>1</v>
      </c>
      <c r="L9">
        <v>992.13092420200098</v>
      </c>
      <c r="M9">
        <v>2.6373330001661002E-3</v>
      </c>
      <c r="N9">
        <v>400</v>
      </c>
      <c r="O9">
        <v>3</v>
      </c>
      <c r="P9">
        <v>954.95621745246206</v>
      </c>
      <c r="Q9">
        <v>7.3109540999212103E-2</v>
      </c>
      <c r="R9" t="e">
        <f t="shared" si="1"/>
        <v>#N/A</v>
      </c>
      <c r="S9" s="1"/>
      <c r="T9">
        <f t="shared" si="0"/>
        <v>0</v>
      </c>
    </row>
    <row r="10" spans="1:20" x14ac:dyDescent="0.3">
      <c r="A10" t="s">
        <v>9</v>
      </c>
      <c r="B10" t="s">
        <v>10</v>
      </c>
      <c r="C10" t="s">
        <v>13</v>
      </c>
      <c r="D10" t="s">
        <v>16</v>
      </c>
      <c r="E10" s="2">
        <v>71</v>
      </c>
      <c r="F10">
        <v>232</v>
      </c>
      <c r="G10">
        <v>8</v>
      </c>
      <c r="H10">
        <v>6643658.8530804999</v>
      </c>
      <c r="I10">
        <v>1.0638330004439E-3</v>
      </c>
      <c r="J10">
        <v>120</v>
      </c>
      <c r="K10">
        <v>7</v>
      </c>
      <c r="L10">
        <v>6480045.90698162</v>
      </c>
      <c r="M10">
        <v>4.1354200038759998E-4</v>
      </c>
      <c r="N10">
        <v>400</v>
      </c>
      <c r="O10">
        <v>8</v>
      </c>
      <c r="P10">
        <v>6776618.6884527104</v>
      </c>
      <c r="Q10">
        <v>8.5063165999599705E-2</v>
      </c>
      <c r="R10">
        <f t="shared" si="1"/>
        <v>2.0013043762859725E-2</v>
      </c>
      <c r="S10" s="1"/>
      <c r="T10">
        <f t="shared" si="0"/>
        <v>0</v>
      </c>
    </row>
    <row r="11" spans="1:20" x14ac:dyDescent="0.3">
      <c r="A11" t="s">
        <v>9</v>
      </c>
      <c r="B11" t="s">
        <v>10</v>
      </c>
      <c r="C11" t="s">
        <v>11</v>
      </c>
      <c r="D11" t="s">
        <v>17</v>
      </c>
      <c r="E11" s="2">
        <v>138</v>
      </c>
      <c r="F11">
        <v>4996</v>
      </c>
      <c r="G11">
        <v>10</v>
      </c>
      <c r="H11">
        <v>602.80629062495404</v>
      </c>
      <c r="I11">
        <v>2.3305833999984302E-2</v>
      </c>
      <c r="J11">
        <v>3426</v>
      </c>
      <c r="K11">
        <v>5</v>
      </c>
      <c r="L11">
        <v>690.94973740272997</v>
      </c>
      <c r="M11">
        <v>7.8262080005514992E-3</v>
      </c>
      <c r="N11">
        <v>400</v>
      </c>
      <c r="O11">
        <v>10</v>
      </c>
      <c r="P11">
        <v>607.63310677229504</v>
      </c>
      <c r="Q11">
        <v>0.26223562499944802</v>
      </c>
      <c r="R11">
        <f t="shared" si="1"/>
        <v>8.0072424963197261E-3</v>
      </c>
      <c r="S11" s="1"/>
      <c r="T11">
        <f t="shared" si="0"/>
        <v>0</v>
      </c>
    </row>
    <row r="12" spans="1:20" x14ac:dyDescent="0.3">
      <c r="A12" t="s">
        <v>9</v>
      </c>
      <c r="B12" t="s">
        <v>10</v>
      </c>
      <c r="C12" t="s">
        <v>13</v>
      </c>
      <c r="D12" t="s">
        <v>17</v>
      </c>
      <c r="E12" s="2">
        <v>138</v>
      </c>
      <c r="F12">
        <v>4996</v>
      </c>
      <c r="G12">
        <v>10</v>
      </c>
      <c r="H12">
        <v>2387.47930311658</v>
      </c>
      <c r="I12">
        <v>2.69768749985814E-2</v>
      </c>
      <c r="J12">
        <v>350</v>
      </c>
      <c r="K12">
        <v>9</v>
      </c>
      <c r="L12">
        <v>2462.8623400946599</v>
      </c>
      <c r="M12">
        <v>1.1290829988865E-3</v>
      </c>
      <c r="N12">
        <v>400</v>
      </c>
      <c r="O12">
        <v>11</v>
      </c>
      <c r="P12">
        <v>3499.8299061505099</v>
      </c>
      <c r="Q12">
        <v>0.21437287500157201</v>
      </c>
      <c r="R12" t="e">
        <f t="shared" si="1"/>
        <v>#N/A</v>
      </c>
      <c r="S12" s="1"/>
      <c r="T12">
        <f t="shared" si="0"/>
        <v>0</v>
      </c>
    </row>
    <row r="13" spans="1:20" x14ac:dyDescent="0.3">
      <c r="A13" t="s">
        <v>9</v>
      </c>
      <c r="B13" t="s">
        <v>18</v>
      </c>
      <c r="C13" t="s">
        <v>11</v>
      </c>
      <c r="D13" t="s">
        <v>19</v>
      </c>
      <c r="E13" s="2">
        <v>79</v>
      </c>
      <c r="F13">
        <v>268</v>
      </c>
      <c r="G13">
        <v>9</v>
      </c>
      <c r="H13">
        <v>711.06543522588197</v>
      </c>
      <c r="I13">
        <v>1.0847909998118999E-3</v>
      </c>
      <c r="J13">
        <v>2015</v>
      </c>
      <c r="K13">
        <v>1</v>
      </c>
      <c r="L13">
        <v>878.61342647987306</v>
      </c>
      <c r="M13">
        <v>4.5579580000776002E-3</v>
      </c>
      <c r="N13">
        <v>400</v>
      </c>
      <c r="O13">
        <v>7</v>
      </c>
      <c r="P13">
        <v>719.26289168688402</v>
      </c>
      <c r="Q13">
        <v>0.113979916999596</v>
      </c>
      <c r="R13" t="e">
        <f t="shared" si="1"/>
        <v>#N/A</v>
      </c>
      <c r="S13" s="1"/>
      <c r="T13">
        <f t="shared" si="0"/>
        <v>0</v>
      </c>
    </row>
    <row r="14" spans="1:20" x14ac:dyDescent="0.3">
      <c r="A14" t="s">
        <v>9</v>
      </c>
      <c r="B14" t="s">
        <v>18</v>
      </c>
      <c r="C14" t="s">
        <v>13</v>
      </c>
      <c r="D14" t="s">
        <v>19</v>
      </c>
      <c r="E14" s="2">
        <v>79</v>
      </c>
      <c r="F14">
        <v>268</v>
      </c>
      <c r="G14">
        <v>9</v>
      </c>
      <c r="H14">
        <v>157946.58719552401</v>
      </c>
      <c r="I14">
        <v>1.2610840003617E-3</v>
      </c>
      <c r="J14">
        <v>136</v>
      </c>
      <c r="K14">
        <v>8</v>
      </c>
      <c r="L14">
        <v>149956.68149431501</v>
      </c>
      <c r="M14">
        <v>4.5704100011780002E-4</v>
      </c>
      <c r="N14">
        <v>400</v>
      </c>
      <c r="O14">
        <v>7</v>
      </c>
      <c r="P14">
        <v>151160.19674152101</v>
      </c>
      <c r="Q14">
        <v>0.108852375000424</v>
      </c>
      <c r="R14" t="e">
        <f t="shared" si="1"/>
        <v>#N/A</v>
      </c>
      <c r="S14" s="1"/>
      <c r="T14">
        <f t="shared" si="0"/>
        <v>0</v>
      </c>
    </row>
    <row r="15" spans="1:20" x14ac:dyDescent="0.3">
      <c r="A15" t="s">
        <v>9</v>
      </c>
      <c r="B15" t="s">
        <v>18</v>
      </c>
      <c r="C15" t="s">
        <v>11</v>
      </c>
      <c r="D15" t="s">
        <v>20</v>
      </c>
      <c r="E15" s="2">
        <v>133</v>
      </c>
      <c r="F15">
        <v>4421</v>
      </c>
      <c r="G15">
        <v>10</v>
      </c>
      <c r="H15">
        <v>703.73073976309502</v>
      </c>
      <c r="I15">
        <v>2.0649416001106102E-2</v>
      </c>
      <c r="J15">
        <v>1950</v>
      </c>
      <c r="K15">
        <v>9</v>
      </c>
      <c r="L15">
        <v>721.74215185574405</v>
      </c>
      <c r="M15">
        <v>4.3689169997378E-3</v>
      </c>
      <c r="N15">
        <v>400</v>
      </c>
      <c r="O15">
        <v>11</v>
      </c>
      <c r="P15">
        <v>698.85870064003404</v>
      </c>
      <c r="Q15">
        <v>0.238617166998665</v>
      </c>
      <c r="R15" t="e">
        <f t="shared" si="1"/>
        <v>#N/A</v>
      </c>
      <c r="S15" s="1"/>
      <c r="T15">
        <f t="shared" si="0"/>
        <v>0</v>
      </c>
    </row>
    <row r="16" spans="1:20" x14ac:dyDescent="0.3">
      <c r="A16" t="s">
        <v>9</v>
      </c>
      <c r="B16" t="s">
        <v>18</v>
      </c>
      <c r="C16" t="s">
        <v>13</v>
      </c>
      <c r="D16" t="s">
        <v>20</v>
      </c>
      <c r="E16" s="2">
        <v>133</v>
      </c>
      <c r="F16">
        <v>4421</v>
      </c>
      <c r="G16">
        <v>10</v>
      </c>
      <c r="H16">
        <v>6000.1572239919597</v>
      </c>
      <c r="I16">
        <v>2.3693958999501701E-2</v>
      </c>
      <c r="J16">
        <v>276</v>
      </c>
      <c r="K16">
        <v>13</v>
      </c>
      <c r="L16">
        <v>5553.78114520095</v>
      </c>
      <c r="M16">
        <v>9.247910002159E-4</v>
      </c>
      <c r="N16">
        <v>400</v>
      </c>
      <c r="O16">
        <v>12</v>
      </c>
      <c r="P16">
        <v>15191.921344561801</v>
      </c>
      <c r="Q16">
        <v>0.200822499999048</v>
      </c>
      <c r="R16" t="e">
        <f t="shared" si="1"/>
        <v>#N/A</v>
      </c>
      <c r="S16" s="1"/>
      <c r="T16">
        <f t="shared" si="0"/>
        <v>0</v>
      </c>
    </row>
    <row r="17" spans="1:20" x14ac:dyDescent="0.3">
      <c r="A17" t="s">
        <v>9</v>
      </c>
      <c r="B17" t="s">
        <v>18</v>
      </c>
      <c r="C17" t="s">
        <v>11</v>
      </c>
      <c r="D17" t="s">
        <v>21</v>
      </c>
      <c r="E17" s="2">
        <v>134</v>
      </c>
      <c r="F17">
        <v>4534</v>
      </c>
      <c r="G17">
        <v>10</v>
      </c>
      <c r="H17">
        <v>1174.96873752942</v>
      </c>
      <c r="I17">
        <v>2.2214708998944802E-2</v>
      </c>
      <c r="J17">
        <v>3893</v>
      </c>
      <c r="K17">
        <v>3</v>
      </c>
      <c r="L17">
        <v>1388.1447966866599</v>
      </c>
      <c r="M17">
        <v>8.8288329989154E-3</v>
      </c>
      <c r="N17">
        <v>400</v>
      </c>
      <c r="O17">
        <v>10</v>
      </c>
      <c r="P17">
        <v>1208.46651289887</v>
      </c>
      <c r="Q17">
        <v>0.24752441700002201</v>
      </c>
      <c r="R17">
        <f t="shared" si="1"/>
        <v>2.8509503529332188E-2</v>
      </c>
      <c r="S17" s="1"/>
      <c r="T17">
        <f t="shared" si="0"/>
        <v>0</v>
      </c>
    </row>
    <row r="18" spans="1:20" x14ac:dyDescent="0.3">
      <c r="A18" t="s">
        <v>9</v>
      </c>
      <c r="B18" t="s">
        <v>18</v>
      </c>
      <c r="C18" t="s">
        <v>13</v>
      </c>
      <c r="D18" t="s">
        <v>21</v>
      </c>
      <c r="E18" s="2">
        <v>134</v>
      </c>
      <c r="F18">
        <v>4534</v>
      </c>
      <c r="G18">
        <v>10</v>
      </c>
      <c r="H18">
        <v>226370.607949675</v>
      </c>
      <c r="I18">
        <v>2.3137083000619799E-2</v>
      </c>
      <c r="J18">
        <v>247</v>
      </c>
      <c r="K18">
        <v>13</v>
      </c>
      <c r="L18">
        <v>188523.36896550801</v>
      </c>
      <c r="M18">
        <v>8.302919995912E-4</v>
      </c>
      <c r="N18">
        <v>400</v>
      </c>
      <c r="O18">
        <v>12</v>
      </c>
      <c r="P18">
        <v>259986.081504028</v>
      </c>
      <c r="Q18">
        <v>0.232344959000329</v>
      </c>
      <c r="R18" t="e">
        <f t="shared" si="1"/>
        <v>#N/A</v>
      </c>
      <c r="S18" s="1"/>
      <c r="T18">
        <f t="shared" si="0"/>
        <v>0</v>
      </c>
    </row>
    <row r="19" spans="1:20" x14ac:dyDescent="0.3">
      <c r="A19" t="s">
        <v>9</v>
      </c>
      <c r="B19" t="s">
        <v>18</v>
      </c>
      <c r="C19" t="s">
        <v>11</v>
      </c>
      <c r="D19" t="s">
        <v>22</v>
      </c>
      <c r="E19" s="2">
        <v>134</v>
      </c>
      <c r="F19">
        <v>4534</v>
      </c>
      <c r="G19">
        <v>10</v>
      </c>
      <c r="H19">
        <v>776.78840586934405</v>
      </c>
      <c r="I19">
        <v>2.1054291000837101E-2</v>
      </c>
      <c r="J19">
        <v>3376</v>
      </c>
      <c r="K19">
        <v>3</v>
      </c>
      <c r="L19">
        <v>921.55344020151199</v>
      </c>
      <c r="M19">
        <v>7.4567079991538004E-3</v>
      </c>
      <c r="N19">
        <v>400</v>
      </c>
      <c r="O19">
        <v>9</v>
      </c>
      <c r="P19">
        <v>819.59416134298203</v>
      </c>
      <c r="Q19">
        <v>0.23458150000078601</v>
      </c>
      <c r="R19" t="e">
        <f t="shared" si="1"/>
        <v>#N/A</v>
      </c>
      <c r="S19" s="1"/>
      <c r="T19">
        <f t="shared" si="0"/>
        <v>0</v>
      </c>
    </row>
    <row r="20" spans="1:20" x14ac:dyDescent="0.3">
      <c r="A20" t="s">
        <v>9</v>
      </c>
      <c r="B20" t="s">
        <v>18</v>
      </c>
      <c r="C20" t="s">
        <v>13</v>
      </c>
      <c r="D20" t="s">
        <v>22</v>
      </c>
      <c r="E20" s="2">
        <v>134</v>
      </c>
      <c r="F20">
        <v>4534</v>
      </c>
      <c r="G20">
        <v>10</v>
      </c>
      <c r="H20">
        <v>9634.4429360633894</v>
      </c>
      <c r="I20">
        <v>2.4322541999936199E-2</v>
      </c>
      <c r="J20">
        <v>249</v>
      </c>
      <c r="K20">
        <v>10</v>
      </c>
      <c r="L20">
        <v>9634.4429360633894</v>
      </c>
      <c r="M20">
        <v>8.3649999942280004E-4</v>
      </c>
      <c r="N20">
        <v>400</v>
      </c>
      <c r="O20">
        <v>10</v>
      </c>
      <c r="P20">
        <v>14852.3926812921</v>
      </c>
      <c r="Q20">
        <v>0.17983762499898101</v>
      </c>
      <c r="R20">
        <f t="shared" si="1"/>
        <v>0.54159330018936747</v>
      </c>
      <c r="S20" s="1"/>
      <c r="T20">
        <f t="shared" si="0"/>
        <v>1</v>
      </c>
    </row>
    <row r="21" spans="1:20" x14ac:dyDescent="0.3">
      <c r="A21" t="s">
        <v>9</v>
      </c>
      <c r="B21" t="s">
        <v>18</v>
      </c>
      <c r="C21" t="s">
        <v>11</v>
      </c>
      <c r="D21" t="s">
        <v>23</v>
      </c>
      <c r="E21" s="2">
        <v>144</v>
      </c>
      <c r="F21">
        <v>5719</v>
      </c>
      <c r="G21">
        <v>10</v>
      </c>
      <c r="H21">
        <v>2233.4543852075799</v>
      </c>
      <c r="I21">
        <v>5.8840249999775503E-2</v>
      </c>
      <c r="J21">
        <v>2554</v>
      </c>
      <c r="K21">
        <v>2</v>
      </c>
      <c r="L21">
        <v>2286.6403570822299</v>
      </c>
      <c r="M21">
        <v>5.7266250005340996E-3</v>
      </c>
      <c r="N21">
        <v>400</v>
      </c>
      <c r="O21">
        <v>3</v>
      </c>
      <c r="P21">
        <v>2265.09273903135</v>
      </c>
      <c r="Q21">
        <v>0.23318591600036501</v>
      </c>
      <c r="R21" t="e">
        <f t="shared" si="1"/>
        <v>#N/A</v>
      </c>
      <c r="S21" s="1"/>
      <c r="T21">
        <f t="shared" si="0"/>
        <v>0</v>
      </c>
    </row>
    <row r="22" spans="1:20" x14ac:dyDescent="0.3">
      <c r="A22" t="s">
        <v>9</v>
      </c>
      <c r="B22" t="s">
        <v>18</v>
      </c>
      <c r="C22" t="s">
        <v>13</v>
      </c>
      <c r="D22" t="s">
        <v>23</v>
      </c>
      <c r="E22" s="2">
        <v>144</v>
      </c>
      <c r="F22">
        <v>5719</v>
      </c>
      <c r="G22">
        <v>10</v>
      </c>
      <c r="H22">
        <v>182954105.31889799</v>
      </c>
      <c r="I22">
        <v>3.0361249999259599E-2</v>
      </c>
      <c r="J22">
        <v>266</v>
      </c>
      <c r="K22">
        <v>6</v>
      </c>
      <c r="L22">
        <v>190695010.94303101</v>
      </c>
      <c r="M22">
        <v>8.7608300054849999E-4</v>
      </c>
      <c r="N22">
        <v>400</v>
      </c>
      <c r="O22">
        <v>8</v>
      </c>
      <c r="P22">
        <v>175519073.41646901</v>
      </c>
      <c r="Q22">
        <v>0.228206124998905</v>
      </c>
      <c r="R22" t="e">
        <f t="shared" si="1"/>
        <v>#N/A</v>
      </c>
      <c r="S22" s="1"/>
      <c r="T22">
        <f t="shared" si="0"/>
        <v>0</v>
      </c>
    </row>
    <row r="23" spans="1:20" x14ac:dyDescent="0.3">
      <c r="A23" t="s">
        <v>9</v>
      </c>
      <c r="B23" t="s">
        <v>24</v>
      </c>
      <c r="C23" t="s">
        <v>11</v>
      </c>
      <c r="D23" t="s">
        <v>25</v>
      </c>
      <c r="E23" s="2">
        <v>140</v>
      </c>
      <c r="F23">
        <v>5233</v>
      </c>
      <c r="G23">
        <v>10</v>
      </c>
      <c r="H23">
        <v>1537.89692594907</v>
      </c>
      <c r="I23">
        <v>2.5195249998432701E-2</v>
      </c>
      <c r="J23">
        <v>4286</v>
      </c>
      <c r="K23">
        <v>2</v>
      </c>
      <c r="L23">
        <v>1621.9412258868799</v>
      </c>
      <c r="M23">
        <v>9.6805420016606997E-3</v>
      </c>
      <c r="N23">
        <v>400</v>
      </c>
      <c r="O23">
        <v>6</v>
      </c>
      <c r="P23">
        <v>1569.1642478953299</v>
      </c>
      <c r="Q23">
        <v>0.24038816699976401</v>
      </c>
      <c r="R23" t="e">
        <f t="shared" si="1"/>
        <v>#N/A</v>
      </c>
      <c r="S23" s="1"/>
      <c r="T23">
        <f t="shared" si="0"/>
        <v>0</v>
      </c>
    </row>
    <row r="24" spans="1:20" x14ac:dyDescent="0.3">
      <c r="A24" t="s">
        <v>9</v>
      </c>
      <c r="B24" t="s">
        <v>24</v>
      </c>
      <c r="C24" t="s">
        <v>13</v>
      </c>
      <c r="D24" t="s">
        <v>25</v>
      </c>
      <c r="E24" s="2">
        <v>140</v>
      </c>
      <c r="F24">
        <v>5233</v>
      </c>
      <c r="G24">
        <v>10</v>
      </c>
      <c r="H24">
        <v>2213908.6669605402</v>
      </c>
      <c r="I24">
        <v>2.7301166999677599E-2</v>
      </c>
      <c r="J24">
        <v>258</v>
      </c>
      <c r="K24">
        <v>14</v>
      </c>
      <c r="L24">
        <v>2372766.52117051</v>
      </c>
      <c r="M24">
        <v>8.6754200128779995E-4</v>
      </c>
      <c r="N24">
        <v>400</v>
      </c>
      <c r="O24">
        <v>13</v>
      </c>
      <c r="P24">
        <v>2816845.8883493901</v>
      </c>
      <c r="Q24">
        <v>0.30374391599980299</v>
      </c>
      <c r="R24" t="e">
        <f t="shared" si="1"/>
        <v>#N/A</v>
      </c>
      <c r="S24" s="1"/>
      <c r="T24">
        <f t="shared" si="0"/>
        <v>0</v>
      </c>
    </row>
    <row r="25" spans="1:20" x14ac:dyDescent="0.3">
      <c r="A25" t="s">
        <v>9</v>
      </c>
      <c r="B25" t="s">
        <v>24</v>
      </c>
      <c r="C25" t="s">
        <v>11</v>
      </c>
      <c r="D25" t="s">
        <v>26</v>
      </c>
      <c r="E25" s="2">
        <v>134</v>
      </c>
      <c r="F25">
        <v>4534</v>
      </c>
      <c r="G25">
        <v>10</v>
      </c>
      <c r="H25">
        <v>1499.62578072622</v>
      </c>
      <c r="I25">
        <v>2.2363333000612301E-2</v>
      </c>
      <c r="J25">
        <v>5736</v>
      </c>
      <c r="K25">
        <v>1</v>
      </c>
      <c r="L25">
        <v>1618.5261927461199</v>
      </c>
      <c r="M25">
        <v>1.28785830002016E-2</v>
      </c>
      <c r="N25">
        <v>400</v>
      </c>
      <c r="O25">
        <v>4</v>
      </c>
      <c r="P25">
        <v>1545.9045904730499</v>
      </c>
      <c r="Q25">
        <v>0.28461966699978802</v>
      </c>
      <c r="R25" t="e">
        <f t="shared" si="1"/>
        <v>#N/A</v>
      </c>
      <c r="S25" s="1"/>
      <c r="T25">
        <f t="shared" si="0"/>
        <v>0</v>
      </c>
    </row>
    <row r="26" spans="1:20" x14ac:dyDescent="0.3">
      <c r="A26" t="s">
        <v>9</v>
      </c>
      <c r="B26" t="s">
        <v>24</v>
      </c>
      <c r="C26" t="s">
        <v>13</v>
      </c>
      <c r="D26" t="s">
        <v>26</v>
      </c>
      <c r="E26" s="2">
        <v>134</v>
      </c>
      <c r="F26">
        <v>4534</v>
      </c>
      <c r="G26">
        <v>10</v>
      </c>
      <c r="H26">
        <v>2228276.9251216701</v>
      </c>
      <c r="I26">
        <v>2.4905708000005598E-2</v>
      </c>
      <c r="J26">
        <v>246</v>
      </c>
      <c r="K26">
        <v>9</v>
      </c>
      <c r="L26">
        <v>2311432.5687494399</v>
      </c>
      <c r="M26">
        <v>8.1795799997049997E-4</v>
      </c>
      <c r="N26">
        <v>400</v>
      </c>
      <c r="O26">
        <v>11</v>
      </c>
      <c r="P26">
        <v>2643346.9277064698</v>
      </c>
      <c r="Q26">
        <v>0.292090208000445</v>
      </c>
      <c r="R26" t="e">
        <f t="shared" si="1"/>
        <v>#N/A</v>
      </c>
      <c r="S26" s="1"/>
      <c r="T26">
        <f t="shared" si="0"/>
        <v>0</v>
      </c>
    </row>
    <row r="27" spans="1:20" x14ac:dyDescent="0.3">
      <c r="A27" t="s">
        <v>9</v>
      </c>
      <c r="B27" t="s">
        <v>24</v>
      </c>
      <c r="C27" t="s">
        <v>11</v>
      </c>
      <c r="D27" t="s">
        <v>27</v>
      </c>
      <c r="E27" s="2">
        <v>133</v>
      </c>
      <c r="F27">
        <v>4421</v>
      </c>
      <c r="G27">
        <v>10</v>
      </c>
      <c r="H27">
        <v>1570.0986124132901</v>
      </c>
      <c r="I27">
        <v>2.0584749998306499E-2</v>
      </c>
      <c r="J27">
        <v>2828</v>
      </c>
      <c r="K27">
        <v>2</v>
      </c>
      <c r="L27">
        <v>1620.3091390955301</v>
      </c>
      <c r="M27">
        <v>6.1874160001024999E-3</v>
      </c>
      <c r="N27">
        <v>400</v>
      </c>
      <c r="O27">
        <v>5</v>
      </c>
      <c r="P27">
        <v>1598.0351815039201</v>
      </c>
      <c r="Q27">
        <v>0.22066254200035401</v>
      </c>
      <c r="R27" t="e">
        <f t="shared" si="1"/>
        <v>#N/A</v>
      </c>
      <c r="S27" s="1"/>
      <c r="T27">
        <f t="shared" si="0"/>
        <v>0</v>
      </c>
    </row>
    <row r="28" spans="1:20" x14ac:dyDescent="0.3">
      <c r="A28" t="s">
        <v>9</v>
      </c>
      <c r="B28" t="s">
        <v>24</v>
      </c>
      <c r="C28" t="s">
        <v>13</v>
      </c>
      <c r="D28" t="s">
        <v>27</v>
      </c>
      <c r="E28" s="2">
        <v>133</v>
      </c>
      <c r="F28">
        <v>4421</v>
      </c>
      <c r="G28">
        <v>10</v>
      </c>
      <c r="H28">
        <v>3584658.3395960801</v>
      </c>
      <c r="I28">
        <v>2.48443750006117E-2</v>
      </c>
      <c r="J28">
        <v>244</v>
      </c>
      <c r="K28">
        <v>9</v>
      </c>
      <c r="L28">
        <v>3597766.1408201801</v>
      </c>
      <c r="M28">
        <v>8.4045800031160001E-4</v>
      </c>
      <c r="N28">
        <v>400</v>
      </c>
      <c r="O28">
        <v>11</v>
      </c>
      <c r="P28">
        <v>4033111.50763444</v>
      </c>
      <c r="Q28">
        <v>0.19914470799994799</v>
      </c>
      <c r="R28" t="e">
        <f t="shared" si="1"/>
        <v>#N/A</v>
      </c>
      <c r="S28" s="1"/>
      <c r="T28">
        <f t="shared" si="0"/>
        <v>0</v>
      </c>
    </row>
    <row r="29" spans="1:20" x14ac:dyDescent="0.3">
      <c r="A29" t="s">
        <v>9</v>
      </c>
      <c r="B29" t="s">
        <v>24</v>
      </c>
      <c r="C29" t="s">
        <v>11</v>
      </c>
      <c r="D29" t="s">
        <v>28</v>
      </c>
      <c r="E29" s="2">
        <v>144</v>
      </c>
      <c r="F29">
        <v>5719</v>
      </c>
      <c r="G29">
        <v>10</v>
      </c>
      <c r="H29">
        <v>1516.2880216756</v>
      </c>
      <c r="I29">
        <v>2.8915916000187201E-2</v>
      </c>
      <c r="J29">
        <v>1235</v>
      </c>
      <c r="K29">
        <v>1</v>
      </c>
      <c r="L29">
        <v>1573.1483731337</v>
      </c>
      <c r="M29">
        <v>2.8401250001479001E-3</v>
      </c>
      <c r="N29">
        <v>400</v>
      </c>
      <c r="O29">
        <v>1</v>
      </c>
      <c r="P29">
        <v>1573.14837313369</v>
      </c>
      <c r="Q29">
        <v>9.5158291998813996E-2</v>
      </c>
      <c r="R29" t="e">
        <f t="shared" si="1"/>
        <v>#N/A</v>
      </c>
      <c r="S29" s="1"/>
      <c r="T29">
        <f t="shared" si="0"/>
        <v>0</v>
      </c>
    </row>
    <row r="30" spans="1:20" x14ac:dyDescent="0.3">
      <c r="A30" t="s">
        <v>9</v>
      </c>
      <c r="B30" t="s">
        <v>24</v>
      </c>
      <c r="C30" t="s">
        <v>13</v>
      </c>
      <c r="D30" t="s">
        <v>28</v>
      </c>
      <c r="E30" s="2">
        <v>144</v>
      </c>
      <c r="F30">
        <v>5719</v>
      </c>
      <c r="G30">
        <v>10</v>
      </c>
      <c r="H30">
        <v>952866.58221787401</v>
      </c>
      <c r="I30">
        <v>3.1878249999863301E-2</v>
      </c>
      <c r="J30">
        <v>266</v>
      </c>
      <c r="K30">
        <v>16</v>
      </c>
      <c r="L30">
        <v>1146653.6967803501</v>
      </c>
      <c r="M30">
        <v>9.2412500089260005E-4</v>
      </c>
      <c r="N30">
        <v>400</v>
      </c>
      <c r="O30">
        <v>14</v>
      </c>
      <c r="P30">
        <v>1332758.73247823</v>
      </c>
      <c r="Q30">
        <v>0.336707082999055</v>
      </c>
      <c r="R30" t="e">
        <f t="shared" si="1"/>
        <v>#N/A</v>
      </c>
      <c r="S30" s="1"/>
      <c r="T30">
        <f t="shared" si="0"/>
        <v>0</v>
      </c>
    </row>
    <row r="31" spans="1:20" x14ac:dyDescent="0.3">
      <c r="A31" t="s">
        <v>9</v>
      </c>
      <c r="B31" t="s">
        <v>24</v>
      </c>
      <c r="C31" t="s">
        <v>11</v>
      </c>
      <c r="D31" t="s">
        <v>29</v>
      </c>
      <c r="E31" s="2">
        <v>144</v>
      </c>
      <c r="F31">
        <v>5719</v>
      </c>
      <c r="G31">
        <v>10</v>
      </c>
      <c r="H31">
        <v>1840.0974912085201</v>
      </c>
      <c r="I31">
        <v>2.95023750004475E-2</v>
      </c>
      <c r="J31">
        <v>2391</v>
      </c>
      <c r="K31">
        <v>1</v>
      </c>
      <c r="L31">
        <v>1955.9147773013899</v>
      </c>
      <c r="M31">
        <v>5.3024579992779E-3</v>
      </c>
      <c r="N31">
        <v>400</v>
      </c>
      <c r="O31">
        <v>12</v>
      </c>
      <c r="P31">
        <v>1834.58395273052</v>
      </c>
      <c r="Q31">
        <v>0.53097791699838104</v>
      </c>
      <c r="R31" t="e">
        <f t="shared" si="1"/>
        <v>#N/A</v>
      </c>
      <c r="S31" s="1"/>
      <c r="T31">
        <f t="shared" si="0"/>
        <v>0</v>
      </c>
    </row>
    <row r="32" spans="1:20" x14ac:dyDescent="0.3">
      <c r="A32" t="s">
        <v>9</v>
      </c>
      <c r="B32" t="s">
        <v>24</v>
      </c>
      <c r="C32" t="s">
        <v>13</v>
      </c>
      <c r="D32" t="s">
        <v>29</v>
      </c>
      <c r="E32" s="2">
        <v>144</v>
      </c>
      <c r="F32">
        <v>5719</v>
      </c>
      <c r="G32">
        <v>10</v>
      </c>
      <c r="H32">
        <v>10080373.477198901</v>
      </c>
      <c r="I32">
        <v>3.2689334000678999E-2</v>
      </c>
      <c r="J32">
        <v>266</v>
      </c>
      <c r="K32">
        <v>17</v>
      </c>
      <c r="L32">
        <v>8908754.3435883392</v>
      </c>
      <c r="M32">
        <v>9.0362500122860004E-4</v>
      </c>
      <c r="N32">
        <v>400</v>
      </c>
      <c r="O32">
        <v>16</v>
      </c>
      <c r="P32">
        <v>11781451.2897735</v>
      </c>
      <c r="Q32">
        <v>0.438247624999348</v>
      </c>
      <c r="R32" t="e">
        <f t="shared" si="1"/>
        <v>#N/A</v>
      </c>
      <c r="S32" s="1"/>
      <c r="T32">
        <f t="shared" si="0"/>
        <v>0</v>
      </c>
    </row>
    <row r="33" spans="1:20" x14ac:dyDescent="0.3">
      <c r="A33" t="s">
        <v>9</v>
      </c>
      <c r="B33" t="s">
        <v>30</v>
      </c>
      <c r="C33" t="s">
        <v>11</v>
      </c>
      <c r="D33" t="s">
        <v>31</v>
      </c>
      <c r="E33" s="2">
        <v>120</v>
      </c>
      <c r="F33">
        <v>3043</v>
      </c>
      <c r="G33">
        <v>10</v>
      </c>
      <c r="H33">
        <v>1176.58328992621</v>
      </c>
      <c r="I33">
        <v>1.38335409992578E-2</v>
      </c>
      <c r="J33">
        <v>3231</v>
      </c>
      <c r="K33">
        <v>2</v>
      </c>
      <c r="L33">
        <v>1273.0045571595499</v>
      </c>
      <c r="M33">
        <v>7.2224590003315001E-3</v>
      </c>
      <c r="N33">
        <v>400</v>
      </c>
      <c r="O33">
        <v>5</v>
      </c>
      <c r="P33">
        <v>1200.8838065617099</v>
      </c>
      <c r="Q33">
        <v>0.235946167000292</v>
      </c>
      <c r="R33" t="e">
        <f t="shared" si="1"/>
        <v>#N/A</v>
      </c>
      <c r="S33" s="1"/>
      <c r="T33">
        <f t="shared" si="0"/>
        <v>0</v>
      </c>
    </row>
    <row r="34" spans="1:20" x14ac:dyDescent="0.3">
      <c r="A34" t="s">
        <v>9</v>
      </c>
      <c r="B34" t="s">
        <v>30</v>
      </c>
      <c r="C34" t="s">
        <v>13</v>
      </c>
      <c r="D34" t="s">
        <v>31</v>
      </c>
      <c r="E34" s="2">
        <v>120</v>
      </c>
      <c r="F34">
        <v>3043</v>
      </c>
      <c r="G34">
        <v>10</v>
      </c>
      <c r="H34">
        <v>565622.57390661503</v>
      </c>
      <c r="I34">
        <v>1.7345917000056901E-2</v>
      </c>
      <c r="J34">
        <v>218</v>
      </c>
      <c r="K34">
        <v>8</v>
      </c>
      <c r="L34">
        <v>578816.78131747199</v>
      </c>
      <c r="M34">
        <v>7.4520799898889997E-4</v>
      </c>
      <c r="N34">
        <v>400</v>
      </c>
      <c r="O34">
        <v>9</v>
      </c>
      <c r="P34">
        <v>616295.47259936598</v>
      </c>
      <c r="Q34">
        <v>0.26412804199935602</v>
      </c>
      <c r="R34" t="e">
        <f t="shared" si="1"/>
        <v>#N/A</v>
      </c>
      <c r="S34" s="1"/>
      <c r="T34">
        <f t="shared" si="0"/>
        <v>0</v>
      </c>
    </row>
    <row r="35" spans="1:20" x14ac:dyDescent="0.3">
      <c r="A35" t="s">
        <v>9</v>
      </c>
      <c r="B35" t="s">
        <v>30</v>
      </c>
      <c r="C35" t="s">
        <v>11</v>
      </c>
      <c r="D35" t="s">
        <v>32</v>
      </c>
      <c r="E35" s="2">
        <v>98</v>
      </c>
      <c r="F35">
        <v>1096</v>
      </c>
      <c r="G35">
        <v>10</v>
      </c>
      <c r="H35">
        <v>612.26053328434296</v>
      </c>
      <c r="I35">
        <v>4.2211250001855001E-3</v>
      </c>
      <c r="J35">
        <v>1988</v>
      </c>
      <c r="K35">
        <v>5</v>
      </c>
      <c r="L35">
        <v>664.59311704472304</v>
      </c>
      <c r="M35">
        <v>4.5141670016164001E-3</v>
      </c>
      <c r="N35">
        <v>400</v>
      </c>
      <c r="O35">
        <v>7</v>
      </c>
      <c r="P35">
        <v>635.75275702848705</v>
      </c>
      <c r="Q35">
        <v>0.14603741599967099</v>
      </c>
      <c r="R35" t="e">
        <f t="shared" si="1"/>
        <v>#N/A</v>
      </c>
      <c r="S35" s="1"/>
      <c r="T35">
        <f t="shared" si="0"/>
        <v>0</v>
      </c>
    </row>
    <row r="36" spans="1:20" x14ac:dyDescent="0.3">
      <c r="A36" t="s">
        <v>9</v>
      </c>
      <c r="B36" t="s">
        <v>30</v>
      </c>
      <c r="C36" t="s">
        <v>13</v>
      </c>
      <c r="D36" t="s">
        <v>32</v>
      </c>
      <c r="E36" s="2">
        <v>98</v>
      </c>
      <c r="F36">
        <v>1096</v>
      </c>
      <c r="G36">
        <v>10</v>
      </c>
      <c r="H36">
        <v>15757.4565066956</v>
      </c>
      <c r="I36">
        <v>4.8775830000522E-3</v>
      </c>
      <c r="J36">
        <v>177</v>
      </c>
      <c r="K36">
        <v>9</v>
      </c>
      <c r="L36">
        <v>15450.383316872199</v>
      </c>
      <c r="M36">
        <v>6.44874999125E-4</v>
      </c>
      <c r="N36">
        <v>400</v>
      </c>
      <c r="O36">
        <v>11</v>
      </c>
      <c r="P36">
        <v>18559.617249197399</v>
      </c>
      <c r="Q36">
        <v>0.11156062500049301</v>
      </c>
      <c r="R36" t="e">
        <f t="shared" si="1"/>
        <v>#N/A</v>
      </c>
      <c r="S36" s="1"/>
      <c r="T36">
        <f t="shared" si="0"/>
        <v>0</v>
      </c>
    </row>
    <row r="37" spans="1:20" x14ac:dyDescent="0.3">
      <c r="A37" t="s">
        <v>9</v>
      </c>
      <c r="B37" t="s">
        <v>30</v>
      </c>
      <c r="C37" t="s">
        <v>11</v>
      </c>
      <c r="D37" t="s">
        <v>33</v>
      </c>
      <c r="E37" s="2">
        <v>134</v>
      </c>
      <c r="F37">
        <v>4534</v>
      </c>
      <c r="G37">
        <v>10</v>
      </c>
      <c r="H37">
        <v>1283.64958535754</v>
      </c>
      <c r="I37">
        <v>5.1373166001212597E-2</v>
      </c>
      <c r="J37">
        <v>4915</v>
      </c>
      <c r="K37">
        <v>3</v>
      </c>
      <c r="L37">
        <v>1369.37997399242</v>
      </c>
      <c r="M37">
        <v>1.113658399845E-2</v>
      </c>
      <c r="N37">
        <v>400</v>
      </c>
      <c r="O37">
        <v>8</v>
      </c>
      <c r="P37">
        <v>1319.33975467812</v>
      </c>
      <c r="Q37">
        <v>0.27548683299937599</v>
      </c>
      <c r="R37" t="e">
        <f t="shared" si="1"/>
        <v>#N/A</v>
      </c>
      <c r="S37" s="1"/>
      <c r="T37">
        <f t="shared" si="0"/>
        <v>0</v>
      </c>
    </row>
    <row r="38" spans="1:20" x14ac:dyDescent="0.3">
      <c r="A38" t="s">
        <v>9</v>
      </c>
      <c r="B38" t="s">
        <v>30</v>
      </c>
      <c r="C38" t="s">
        <v>13</v>
      </c>
      <c r="D38" t="s">
        <v>33</v>
      </c>
      <c r="E38" s="2">
        <v>134</v>
      </c>
      <c r="F38">
        <v>4534</v>
      </c>
      <c r="G38">
        <v>10</v>
      </c>
      <c r="H38">
        <v>494244.47502621397</v>
      </c>
      <c r="I38">
        <v>2.33319159997336E-2</v>
      </c>
      <c r="J38">
        <v>246</v>
      </c>
      <c r="K38">
        <v>10</v>
      </c>
      <c r="L38">
        <v>504384.53274662601</v>
      </c>
      <c r="M38">
        <v>8.3566699868240001E-4</v>
      </c>
      <c r="N38">
        <v>400</v>
      </c>
      <c r="O38">
        <v>11</v>
      </c>
      <c r="P38">
        <v>541071.97422536695</v>
      </c>
      <c r="Q38">
        <v>0.261256415999014</v>
      </c>
      <c r="R38" t="e">
        <f t="shared" si="1"/>
        <v>#N/A</v>
      </c>
      <c r="S38" s="1"/>
      <c r="T38">
        <f t="shared" si="0"/>
        <v>1</v>
      </c>
    </row>
    <row r="39" spans="1:20" x14ac:dyDescent="0.3">
      <c r="A39" t="s">
        <v>9</v>
      </c>
      <c r="B39" t="s">
        <v>30</v>
      </c>
      <c r="C39" t="s">
        <v>11</v>
      </c>
      <c r="D39" t="s">
        <v>34</v>
      </c>
      <c r="E39" s="2">
        <v>144</v>
      </c>
      <c r="F39">
        <v>5719</v>
      </c>
      <c r="G39">
        <v>10</v>
      </c>
      <c r="H39">
        <v>1224.24714964292</v>
      </c>
      <c r="I39">
        <v>2.73035829995933E-2</v>
      </c>
      <c r="J39">
        <v>5912</v>
      </c>
      <c r="K39">
        <v>3</v>
      </c>
      <c r="L39">
        <v>1330.1417823788099</v>
      </c>
      <c r="M39">
        <v>1.3225458000306301E-2</v>
      </c>
      <c r="N39">
        <v>400</v>
      </c>
      <c r="O39">
        <v>9</v>
      </c>
      <c r="P39">
        <v>1238.1691372530199</v>
      </c>
      <c r="Q39">
        <v>0.32052087499869197</v>
      </c>
      <c r="R39" t="e">
        <f t="shared" si="1"/>
        <v>#N/A</v>
      </c>
      <c r="S39" s="1"/>
      <c r="T39">
        <f t="shared" si="0"/>
        <v>0</v>
      </c>
    </row>
    <row r="40" spans="1:20" x14ac:dyDescent="0.3">
      <c r="A40" t="s">
        <v>9</v>
      </c>
      <c r="B40" t="s">
        <v>30</v>
      </c>
      <c r="C40" t="s">
        <v>13</v>
      </c>
      <c r="D40" t="s">
        <v>34</v>
      </c>
      <c r="E40" s="2">
        <v>144</v>
      </c>
      <c r="F40">
        <v>5719</v>
      </c>
      <c r="G40">
        <v>10</v>
      </c>
      <c r="H40">
        <v>154548.02973146201</v>
      </c>
      <c r="I40">
        <v>2.9977916999996499E-2</v>
      </c>
      <c r="J40">
        <v>268</v>
      </c>
      <c r="K40">
        <v>15</v>
      </c>
      <c r="L40">
        <v>158055.471609595</v>
      </c>
      <c r="M40">
        <v>1.0133329997188E-3</v>
      </c>
      <c r="N40">
        <v>400</v>
      </c>
      <c r="O40">
        <v>14</v>
      </c>
      <c r="P40">
        <v>180426.91137606499</v>
      </c>
      <c r="Q40">
        <v>0.28119079200041502</v>
      </c>
      <c r="R40" t="e">
        <f t="shared" si="1"/>
        <v>#N/A</v>
      </c>
      <c r="S40" s="1"/>
      <c r="T40">
        <f t="shared" si="0"/>
        <v>0</v>
      </c>
    </row>
    <row r="41" spans="1:20" x14ac:dyDescent="0.3">
      <c r="A41" t="s">
        <v>9</v>
      </c>
      <c r="B41" t="s">
        <v>30</v>
      </c>
      <c r="C41" t="s">
        <v>11</v>
      </c>
      <c r="D41" t="s">
        <v>35</v>
      </c>
      <c r="E41" s="2">
        <v>144</v>
      </c>
      <c r="F41">
        <v>5719</v>
      </c>
      <c r="G41">
        <v>10</v>
      </c>
      <c r="H41">
        <v>1772.64692567458</v>
      </c>
      <c r="I41">
        <v>2.73349170001893E-2</v>
      </c>
      <c r="J41">
        <v>1685</v>
      </c>
      <c r="K41">
        <v>1</v>
      </c>
      <c r="L41">
        <v>1906.9925842160401</v>
      </c>
      <c r="M41">
        <v>3.6908330002916002E-3</v>
      </c>
      <c r="N41">
        <v>400</v>
      </c>
      <c r="O41">
        <v>11</v>
      </c>
      <c r="P41">
        <v>1781.3594327082101</v>
      </c>
      <c r="Q41">
        <v>0.24054808399887401</v>
      </c>
      <c r="R41" t="e">
        <f t="shared" si="1"/>
        <v>#N/A</v>
      </c>
      <c r="S41" s="1"/>
      <c r="T41">
        <f t="shared" si="0"/>
        <v>0</v>
      </c>
    </row>
    <row r="42" spans="1:20" x14ac:dyDescent="0.3">
      <c r="A42" t="s">
        <v>9</v>
      </c>
      <c r="B42" t="s">
        <v>30</v>
      </c>
      <c r="C42" t="s">
        <v>13</v>
      </c>
      <c r="D42" t="s">
        <v>35</v>
      </c>
      <c r="E42" s="2">
        <v>144</v>
      </c>
      <c r="F42">
        <v>5719</v>
      </c>
      <c r="G42">
        <v>10</v>
      </c>
      <c r="H42">
        <v>10301621.8973394</v>
      </c>
      <c r="I42">
        <v>3.1151500001214999E-2</v>
      </c>
      <c r="J42">
        <v>266</v>
      </c>
      <c r="K42">
        <v>14</v>
      </c>
      <c r="L42">
        <v>11968590.3256057</v>
      </c>
      <c r="M42">
        <v>9.8362499920759991E-4</v>
      </c>
      <c r="N42">
        <v>400</v>
      </c>
      <c r="O42">
        <v>13</v>
      </c>
      <c r="P42">
        <v>12145614.6703711</v>
      </c>
      <c r="Q42">
        <v>0.28888941700097298</v>
      </c>
      <c r="R42" t="e">
        <f t="shared" si="1"/>
        <v>#N/A</v>
      </c>
      <c r="S42" s="1"/>
      <c r="T42">
        <f t="shared" si="0"/>
        <v>0</v>
      </c>
    </row>
    <row r="43" spans="1:20" x14ac:dyDescent="0.3">
      <c r="A43" t="s">
        <v>9</v>
      </c>
      <c r="B43" t="s">
        <v>36</v>
      </c>
      <c r="C43" t="s">
        <v>11</v>
      </c>
      <c r="D43" t="s">
        <v>37</v>
      </c>
      <c r="E43" s="2">
        <v>126</v>
      </c>
      <c r="F43">
        <v>3658</v>
      </c>
      <c r="G43">
        <v>10</v>
      </c>
      <c r="H43">
        <v>1504.0408442484299</v>
      </c>
      <c r="I43">
        <v>1.78087500007677E-2</v>
      </c>
      <c r="J43">
        <v>2793</v>
      </c>
      <c r="K43">
        <v>1</v>
      </c>
      <c r="L43">
        <v>1577.0242400668201</v>
      </c>
      <c r="M43">
        <v>6.1859159995946997E-3</v>
      </c>
      <c r="N43">
        <v>400</v>
      </c>
      <c r="O43">
        <v>4</v>
      </c>
      <c r="P43">
        <v>1531.6239044956701</v>
      </c>
      <c r="Q43">
        <v>0.26188520800133103</v>
      </c>
      <c r="R43" t="e">
        <f t="shared" si="1"/>
        <v>#N/A</v>
      </c>
      <c r="S43" s="1"/>
      <c r="T43">
        <f t="shared" si="0"/>
        <v>0</v>
      </c>
    </row>
    <row r="44" spans="1:20" x14ac:dyDescent="0.3">
      <c r="A44" t="s">
        <v>9</v>
      </c>
      <c r="B44" t="s">
        <v>36</v>
      </c>
      <c r="C44" t="s">
        <v>13</v>
      </c>
      <c r="D44" t="s">
        <v>37</v>
      </c>
      <c r="E44" s="2">
        <v>126</v>
      </c>
      <c r="F44">
        <v>3658</v>
      </c>
      <c r="G44">
        <v>10</v>
      </c>
      <c r="H44">
        <v>4823474.99959986</v>
      </c>
      <c r="I44">
        <v>1.8168124999647199E-2</v>
      </c>
      <c r="J44">
        <v>230</v>
      </c>
      <c r="K44">
        <v>6</v>
      </c>
      <c r="L44">
        <v>4420867.0524611296</v>
      </c>
      <c r="M44">
        <v>7.6729099964719999E-4</v>
      </c>
      <c r="N44">
        <v>400</v>
      </c>
      <c r="O44">
        <v>10</v>
      </c>
      <c r="P44">
        <v>5256292.5589608196</v>
      </c>
      <c r="Q44">
        <v>0.19276204200104899</v>
      </c>
      <c r="R44">
        <f t="shared" si="1"/>
        <v>8.9731481845943997E-2</v>
      </c>
      <c r="S44" s="1"/>
      <c r="T44">
        <f t="shared" si="0"/>
        <v>0</v>
      </c>
    </row>
    <row r="45" spans="1:20" x14ac:dyDescent="0.3">
      <c r="A45" t="s">
        <v>9</v>
      </c>
      <c r="B45" t="s">
        <v>36</v>
      </c>
      <c r="C45" t="s">
        <v>11</v>
      </c>
      <c r="D45" t="s">
        <v>38</v>
      </c>
      <c r="E45" s="2">
        <v>69</v>
      </c>
      <c r="F45">
        <v>138</v>
      </c>
      <c r="G45">
        <v>8</v>
      </c>
      <c r="H45">
        <v>915.65599004713397</v>
      </c>
      <c r="I45">
        <v>6.0470800053730005E-4</v>
      </c>
      <c r="J45">
        <v>817</v>
      </c>
      <c r="K45">
        <v>1</v>
      </c>
      <c r="L45">
        <v>941.65966425305203</v>
      </c>
      <c r="M45">
        <v>1.9147500006511001E-3</v>
      </c>
      <c r="N45">
        <v>400</v>
      </c>
      <c r="O45">
        <v>2</v>
      </c>
      <c r="P45">
        <v>924.19287834171098</v>
      </c>
      <c r="Q45">
        <v>7.8482249999069595E-2</v>
      </c>
      <c r="R45" t="e">
        <f t="shared" si="1"/>
        <v>#N/A</v>
      </c>
      <c r="S45" s="1"/>
      <c r="T45">
        <f t="shared" si="0"/>
        <v>0</v>
      </c>
    </row>
    <row r="46" spans="1:20" x14ac:dyDescent="0.3">
      <c r="A46" t="s">
        <v>9</v>
      </c>
      <c r="B46" t="s">
        <v>36</v>
      </c>
      <c r="C46" t="s">
        <v>13</v>
      </c>
      <c r="D46" t="s">
        <v>38</v>
      </c>
      <c r="E46" s="2">
        <v>69</v>
      </c>
      <c r="F46">
        <v>138</v>
      </c>
      <c r="G46">
        <v>8</v>
      </c>
      <c r="H46">
        <v>13856866.945568999</v>
      </c>
      <c r="I46">
        <v>6.9891700150029996E-4</v>
      </c>
      <c r="J46">
        <v>116</v>
      </c>
      <c r="K46">
        <v>1</v>
      </c>
      <c r="L46">
        <v>6624753.6796798697</v>
      </c>
      <c r="M46">
        <v>3.964169991377E-4</v>
      </c>
      <c r="N46">
        <v>400</v>
      </c>
      <c r="O46">
        <v>4</v>
      </c>
      <c r="P46">
        <v>9239132.7511802204</v>
      </c>
      <c r="Q46">
        <v>7.45229160002054E-2</v>
      </c>
      <c r="R46" t="e">
        <f t="shared" si="1"/>
        <v>#N/A</v>
      </c>
      <c r="S46" s="1"/>
      <c r="T46">
        <f t="shared" si="0"/>
        <v>0</v>
      </c>
    </row>
    <row r="47" spans="1:20" x14ac:dyDescent="0.3">
      <c r="A47" t="s">
        <v>9</v>
      </c>
      <c r="B47" t="s">
        <v>36</v>
      </c>
      <c r="C47" t="s">
        <v>11</v>
      </c>
      <c r="D47" t="s">
        <v>39</v>
      </c>
      <c r="E47" s="2">
        <v>69</v>
      </c>
      <c r="F47">
        <v>138</v>
      </c>
      <c r="G47">
        <v>8</v>
      </c>
      <c r="H47">
        <v>847.27541123226297</v>
      </c>
      <c r="I47">
        <v>6.0958300127820001E-4</v>
      </c>
      <c r="J47">
        <v>161</v>
      </c>
      <c r="K47">
        <v>1</v>
      </c>
      <c r="L47">
        <v>856.00637356914899</v>
      </c>
      <c r="M47">
        <v>4.2516699977560002E-4</v>
      </c>
      <c r="N47">
        <v>400</v>
      </c>
      <c r="O47">
        <v>1</v>
      </c>
      <c r="P47">
        <v>856.00637356914899</v>
      </c>
      <c r="Q47">
        <v>4.14049579994753E-2</v>
      </c>
      <c r="R47" t="e">
        <f t="shared" si="1"/>
        <v>#N/A</v>
      </c>
      <c r="S47" s="1"/>
      <c r="T47">
        <f t="shared" si="0"/>
        <v>0</v>
      </c>
    </row>
    <row r="48" spans="1:20" x14ac:dyDescent="0.3">
      <c r="A48" t="s">
        <v>9</v>
      </c>
      <c r="B48" t="s">
        <v>36</v>
      </c>
      <c r="C48" t="s">
        <v>13</v>
      </c>
      <c r="D48" t="s">
        <v>39</v>
      </c>
      <c r="E48" s="2">
        <v>69</v>
      </c>
      <c r="F48">
        <v>138</v>
      </c>
      <c r="G48">
        <v>8</v>
      </c>
      <c r="H48">
        <v>3980739.4069506298</v>
      </c>
      <c r="I48">
        <v>7.059580002533E-4</v>
      </c>
      <c r="J48">
        <v>116</v>
      </c>
      <c r="K48">
        <v>1</v>
      </c>
      <c r="L48">
        <v>1914508.92144346</v>
      </c>
      <c r="M48">
        <v>4.0550000085199999E-4</v>
      </c>
      <c r="N48">
        <v>400</v>
      </c>
      <c r="O48">
        <v>4</v>
      </c>
      <c r="P48">
        <v>3114042.6652768902</v>
      </c>
      <c r="Q48">
        <v>5.8588292000422301E-2</v>
      </c>
      <c r="R48" t="e">
        <f t="shared" si="1"/>
        <v>#N/A</v>
      </c>
      <c r="S48" s="1"/>
      <c r="T48">
        <f t="shared" si="0"/>
        <v>0</v>
      </c>
    </row>
    <row r="49" spans="1:20" x14ac:dyDescent="0.3">
      <c r="A49" t="s">
        <v>9</v>
      </c>
      <c r="B49" t="s">
        <v>36</v>
      </c>
      <c r="C49" t="s">
        <v>11</v>
      </c>
      <c r="D49" t="s">
        <v>40</v>
      </c>
      <c r="E49" s="2">
        <v>69</v>
      </c>
      <c r="F49">
        <v>138</v>
      </c>
      <c r="G49">
        <v>8</v>
      </c>
      <c r="H49">
        <v>977.61732862096596</v>
      </c>
      <c r="I49">
        <v>6.3633299942010004E-4</v>
      </c>
      <c r="J49">
        <v>335</v>
      </c>
      <c r="K49">
        <v>1</v>
      </c>
      <c r="L49">
        <v>993.84988286398197</v>
      </c>
      <c r="M49">
        <v>8.0666699977880005E-4</v>
      </c>
      <c r="N49">
        <v>400</v>
      </c>
      <c r="O49">
        <v>1</v>
      </c>
      <c r="P49">
        <v>993.84988286398197</v>
      </c>
      <c r="Q49">
        <v>4.3659625000145703E-2</v>
      </c>
      <c r="R49" t="e">
        <f t="shared" si="1"/>
        <v>#N/A</v>
      </c>
      <c r="S49" s="1"/>
      <c r="T49">
        <f t="shared" si="0"/>
        <v>0</v>
      </c>
    </row>
    <row r="50" spans="1:20" x14ac:dyDescent="0.3">
      <c r="A50" t="s">
        <v>9</v>
      </c>
      <c r="B50" t="s">
        <v>36</v>
      </c>
      <c r="C50" t="s">
        <v>13</v>
      </c>
      <c r="D50" t="s">
        <v>40</v>
      </c>
      <c r="E50" s="2">
        <v>69</v>
      </c>
      <c r="F50">
        <v>138</v>
      </c>
      <c r="G50">
        <v>8</v>
      </c>
      <c r="H50">
        <v>27627101.0071069</v>
      </c>
      <c r="I50">
        <v>6.9587500001940005E-4</v>
      </c>
      <c r="J50">
        <v>116</v>
      </c>
      <c r="K50">
        <v>1</v>
      </c>
      <c r="L50">
        <v>14114366.3766068</v>
      </c>
      <c r="M50">
        <v>3.9174999983510001E-4</v>
      </c>
      <c r="N50">
        <v>400</v>
      </c>
      <c r="O50">
        <v>3</v>
      </c>
      <c r="P50">
        <v>19021975.947312899</v>
      </c>
      <c r="Q50">
        <v>6.3336666999020894E-2</v>
      </c>
      <c r="R50" t="e">
        <f t="shared" si="1"/>
        <v>#N/A</v>
      </c>
      <c r="S50" s="1"/>
      <c r="T50">
        <f t="shared" si="0"/>
        <v>0</v>
      </c>
    </row>
    <row r="51" spans="1:20" x14ac:dyDescent="0.3">
      <c r="A51" t="s">
        <v>9</v>
      </c>
      <c r="B51" t="s">
        <v>36</v>
      </c>
      <c r="C51" t="s">
        <v>11</v>
      </c>
      <c r="D51" t="s">
        <v>41</v>
      </c>
      <c r="E51" s="2">
        <v>126</v>
      </c>
      <c r="F51">
        <v>3658</v>
      </c>
      <c r="G51">
        <v>10</v>
      </c>
      <c r="H51">
        <v>1375.4809083596399</v>
      </c>
      <c r="I51">
        <v>1.6450416998850401E-2</v>
      </c>
      <c r="J51">
        <v>2717</v>
      </c>
      <c r="K51">
        <v>2</v>
      </c>
      <c r="L51">
        <v>1438.38251392148</v>
      </c>
      <c r="M51">
        <v>6.0331659988150004E-3</v>
      </c>
      <c r="N51">
        <v>400</v>
      </c>
      <c r="O51">
        <v>6</v>
      </c>
      <c r="P51">
        <v>1398.88497804077</v>
      </c>
      <c r="Q51">
        <v>0.19513420800103601</v>
      </c>
      <c r="R51" t="e">
        <f t="shared" si="1"/>
        <v>#N/A</v>
      </c>
      <c r="S51" s="1"/>
      <c r="T51">
        <f t="shared" si="0"/>
        <v>0</v>
      </c>
    </row>
    <row r="52" spans="1:20" x14ac:dyDescent="0.3">
      <c r="A52" t="s">
        <v>9</v>
      </c>
      <c r="B52" t="s">
        <v>36</v>
      </c>
      <c r="C52" t="s">
        <v>13</v>
      </c>
      <c r="D52" t="s">
        <v>41</v>
      </c>
      <c r="E52" s="2">
        <v>126</v>
      </c>
      <c r="F52">
        <v>3658</v>
      </c>
      <c r="G52">
        <v>10</v>
      </c>
      <c r="H52">
        <v>2215432.1141809798</v>
      </c>
      <c r="I52">
        <v>1.8260792001456101E-2</v>
      </c>
      <c r="J52">
        <v>230</v>
      </c>
      <c r="K52">
        <v>7</v>
      </c>
      <c r="L52">
        <v>2105605.3664561701</v>
      </c>
      <c r="M52">
        <v>8.0204199912249999E-4</v>
      </c>
      <c r="N52">
        <v>400</v>
      </c>
      <c r="O52">
        <v>10</v>
      </c>
      <c r="P52">
        <v>2686889.44769195</v>
      </c>
      <c r="Q52">
        <v>0.16728270800012901</v>
      </c>
      <c r="R52">
        <f t="shared" si="1"/>
        <v>0.21280603927927744</v>
      </c>
      <c r="S52" s="1"/>
      <c r="T52">
        <f t="shared" si="0"/>
        <v>0</v>
      </c>
    </row>
    <row r="53" spans="1:20" x14ac:dyDescent="0.3">
      <c r="A53" t="s">
        <v>9</v>
      </c>
      <c r="B53" t="s">
        <v>42</v>
      </c>
      <c r="C53" t="s">
        <v>11</v>
      </c>
      <c r="D53" t="s">
        <v>43</v>
      </c>
      <c r="E53" s="2">
        <v>71</v>
      </c>
      <c r="F53">
        <v>232</v>
      </c>
      <c r="G53">
        <v>8</v>
      </c>
      <c r="H53">
        <v>450.43785842526103</v>
      </c>
      <c r="I53">
        <v>9.2308399871389999E-4</v>
      </c>
      <c r="J53">
        <v>1156</v>
      </c>
      <c r="K53">
        <v>4</v>
      </c>
      <c r="L53">
        <v>500.57053026950302</v>
      </c>
      <c r="M53">
        <v>2.6844169988179999E-3</v>
      </c>
      <c r="N53">
        <v>400</v>
      </c>
      <c r="O53">
        <v>6</v>
      </c>
      <c r="P53">
        <v>458.52154843444703</v>
      </c>
      <c r="Q53">
        <v>0.10918195900012501</v>
      </c>
      <c r="R53" t="e">
        <f t="shared" si="1"/>
        <v>#N/A</v>
      </c>
      <c r="S53" s="1"/>
      <c r="T53">
        <f t="shared" si="0"/>
        <v>0</v>
      </c>
    </row>
    <row r="54" spans="1:20" x14ac:dyDescent="0.3">
      <c r="A54" t="s">
        <v>9</v>
      </c>
      <c r="B54" t="s">
        <v>42</v>
      </c>
      <c r="C54" t="s">
        <v>13</v>
      </c>
      <c r="D54" t="s">
        <v>43</v>
      </c>
      <c r="E54" s="2">
        <v>71</v>
      </c>
      <c r="F54">
        <v>232</v>
      </c>
      <c r="G54">
        <v>8</v>
      </c>
      <c r="H54">
        <v>10824.5568498634</v>
      </c>
      <c r="I54">
        <v>1.0666250000213001E-3</v>
      </c>
      <c r="J54">
        <v>121</v>
      </c>
      <c r="K54">
        <v>7</v>
      </c>
      <c r="L54">
        <v>9110.4982211476399</v>
      </c>
      <c r="M54">
        <v>4.481659998418E-4</v>
      </c>
      <c r="N54">
        <v>400</v>
      </c>
      <c r="O54">
        <v>7</v>
      </c>
      <c r="P54">
        <v>20012.6258028673</v>
      </c>
      <c r="Q54">
        <v>7.9274708999946597E-2</v>
      </c>
      <c r="R54" t="e">
        <f t="shared" si="1"/>
        <v>#N/A</v>
      </c>
      <c r="S54" s="1"/>
      <c r="T54">
        <f t="shared" si="0"/>
        <v>0</v>
      </c>
    </row>
    <row r="55" spans="1:20" x14ac:dyDescent="0.3">
      <c r="A55" t="s">
        <v>9</v>
      </c>
      <c r="B55" t="s">
        <v>42</v>
      </c>
      <c r="C55" t="s">
        <v>11</v>
      </c>
      <c r="D55" t="s">
        <v>44</v>
      </c>
      <c r="E55" s="2">
        <v>71</v>
      </c>
      <c r="F55">
        <v>232</v>
      </c>
      <c r="G55">
        <v>8</v>
      </c>
      <c r="H55">
        <v>387.41182708830797</v>
      </c>
      <c r="I55">
        <v>9.4924999939389998E-4</v>
      </c>
      <c r="J55">
        <v>1503</v>
      </c>
      <c r="K55">
        <v>2</v>
      </c>
      <c r="L55">
        <v>458.27952521002197</v>
      </c>
      <c r="M55">
        <v>3.4458749996701E-3</v>
      </c>
      <c r="N55">
        <v>400</v>
      </c>
      <c r="O55">
        <v>4</v>
      </c>
      <c r="P55">
        <v>396.58083365493002</v>
      </c>
      <c r="Q55">
        <v>9.0133916999547994E-2</v>
      </c>
      <c r="R55" t="e">
        <f t="shared" si="1"/>
        <v>#N/A</v>
      </c>
      <c r="S55" s="1"/>
      <c r="T55">
        <f t="shared" si="0"/>
        <v>0</v>
      </c>
    </row>
    <row r="56" spans="1:20" x14ac:dyDescent="0.3">
      <c r="A56" t="s">
        <v>9</v>
      </c>
      <c r="B56" t="s">
        <v>42</v>
      </c>
      <c r="C56" t="s">
        <v>13</v>
      </c>
      <c r="D56" t="s">
        <v>44</v>
      </c>
      <c r="E56" s="2">
        <v>71</v>
      </c>
      <c r="F56">
        <v>232</v>
      </c>
      <c r="G56">
        <v>8</v>
      </c>
      <c r="H56">
        <v>4114.7454736081299</v>
      </c>
      <c r="I56">
        <v>1.0997499994118E-3</v>
      </c>
      <c r="J56">
        <v>147</v>
      </c>
      <c r="K56">
        <v>5</v>
      </c>
      <c r="L56">
        <v>3472.2323724237799</v>
      </c>
      <c r="M56">
        <v>4.8545800018469999E-4</v>
      </c>
      <c r="N56">
        <v>400</v>
      </c>
      <c r="O56">
        <v>6</v>
      </c>
      <c r="P56">
        <v>3625.53834281647</v>
      </c>
      <c r="Q56">
        <v>8.3258583001224906E-2</v>
      </c>
      <c r="R56" t="e">
        <f t="shared" si="1"/>
        <v>#N/A</v>
      </c>
      <c r="S56" s="1"/>
      <c r="T56">
        <f t="shared" si="0"/>
        <v>0</v>
      </c>
    </row>
    <row r="57" spans="1:20" x14ac:dyDescent="0.3">
      <c r="A57" t="s">
        <v>9</v>
      </c>
      <c r="B57" t="s">
        <v>42</v>
      </c>
      <c r="C57" t="s">
        <v>11</v>
      </c>
      <c r="D57" t="s">
        <v>45</v>
      </c>
      <c r="E57" s="2">
        <v>71</v>
      </c>
      <c r="F57">
        <v>232</v>
      </c>
      <c r="G57">
        <v>8</v>
      </c>
      <c r="H57">
        <v>459.96076712762903</v>
      </c>
      <c r="I57">
        <v>9.4366600023930002E-4</v>
      </c>
      <c r="J57">
        <v>1167</v>
      </c>
      <c r="K57">
        <v>4</v>
      </c>
      <c r="L57">
        <v>509.03530897036501</v>
      </c>
      <c r="M57">
        <v>2.6542499999777001E-3</v>
      </c>
      <c r="N57">
        <v>400</v>
      </c>
      <c r="O57">
        <v>6</v>
      </c>
      <c r="P57">
        <v>464.482797689569</v>
      </c>
      <c r="Q57">
        <v>8.1695625000065705E-2</v>
      </c>
      <c r="R57" t="e">
        <f t="shared" si="1"/>
        <v>#N/A</v>
      </c>
      <c r="S57" s="1"/>
      <c r="T57">
        <f t="shared" si="0"/>
        <v>0</v>
      </c>
    </row>
    <row r="58" spans="1:20" x14ac:dyDescent="0.3">
      <c r="A58" t="s">
        <v>9</v>
      </c>
      <c r="B58" t="s">
        <v>42</v>
      </c>
      <c r="C58" t="s">
        <v>13</v>
      </c>
      <c r="D58" t="s">
        <v>45</v>
      </c>
      <c r="E58" s="2">
        <v>71</v>
      </c>
      <c r="F58">
        <v>232</v>
      </c>
      <c r="G58">
        <v>8</v>
      </c>
      <c r="H58">
        <v>16258.050208762001</v>
      </c>
      <c r="I58">
        <v>1.0813750013767001E-3</v>
      </c>
      <c r="J58">
        <v>122</v>
      </c>
      <c r="K58">
        <v>7</v>
      </c>
      <c r="L58">
        <v>12520.8522644599</v>
      </c>
      <c r="M58">
        <v>4.1691700062069999E-4</v>
      </c>
      <c r="N58">
        <v>400</v>
      </c>
      <c r="O58">
        <v>6</v>
      </c>
      <c r="P58">
        <v>19005.353585021501</v>
      </c>
      <c r="Q58">
        <v>6.50142089998553E-2</v>
      </c>
      <c r="R58" t="e">
        <f t="shared" si="1"/>
        <v>#N/A</v>
      </c>
      <c r="S58" s="1"/>
      <c r="T58">
        <f t="shared" si="0"/>
        <v>0</v>
      </c>
    </row>
    <row r="59" spans="1:20" x14ac:dyDescent="0.3">
      <c r="A59" t="s">
        <v>9</v>
      </c>
      <c r="B59" t="s">
        <v>42</v>
      </c>
      <c r="C59" t="s">
        <v>11</v>
      </c>
      <c r="D59" t="s">
        <v>46</v>
      </c>
      <c r="E59" s="2">
        <v>71</v>
      </c>
      <c r="F59">
        <v>232</v>
      </c>
      <c r="G59">
        <v>8</v>
      </c>
      <c r="H59">
        <v>540.53443981439204</v>
      </c>
      <c r="I59">
        <v>9.1312499898770004E-4</v>
      </c>
      <c r="J59">
        <v>1525</v>
      </c>
      <c r="K59">
        <v>3</v>
      </c>
      <c r="L59">
        <v>596.302177540564</v>
      </c>
      <c r="M59">
        <v>3.4542920002421998E-3</v>
      </c>
      <c r="N59">
        <v>400</v>
      </c>
      <c r="O59">
        <v>5</v>
      </c>
      <c r="P59">
        <v>581.64616476453205</v>
      </c>
      <c r="Q59">
        <v>9.31100420002621E-2</v>
      </c>
      <c r="R59" t="e">
        <f t="shared" si="1"/>
        <v>#N/A</v>
      </c>
      <c r="S59" s="1"/>
      <c r="T59">
        <f t="shared" si="0"/>
        <v>0</v>
      </c>
    </row>
    <row r="60" spans="1:20" x14ac:dyDescent="0.3">
      <c r="A60" t="s">
        <v>9</v>
      </c>
      <c r="B60" t="s">
        <v>42</v>
      </c>
      <c r="C60" t="s">
        <v>13</v>
      </c>
      <c r="D60" t="s">
        <v>46</v>
      </c>
      <c r="E60" s="2">
        <v>71</v>
      </c>
      <c r="F60">
        <v>232</v>
      </c>
      <c r="G60">
        <v>8</v>
      </c>
      <c r="H60">
        <v>47585.287872294299</v>
      </c>
      <c r="I60">
        <v>1.0694169995986E-3</v>
      </c>
      <c r="J60">
        <v>122</v>
      </c>
      <c r="K60">
        <v>6</v>
      </c>
      <c r="L60">
        <v>40901.734583231198</v>
      </c>
      <c r="M60">
        <v>4.3054100024159998E-4</v>
      </c>
      <c r="N60">
        <v>400</v>
      </c>
      <c r="O60">
        <v>7</v>
      </c>
      <c r="P60">
        <v>49033.9944147961</v>
      </c>
      <c r="Q60">
        <v>8.0660125000576899E-2</v>
      </c>
      <c r="R60" t="e">
        <f t="shared" si="1"/>
        <v>#N/A</v>
      </c>
      <c r="S60" s="1"/>
      <c r="T60">
        <f t="shared" si="0"/>
        <v>0</v>
      </c>
    </row>
    <row r="61" spans="1:20" x14ac:dyDescent="0.3">
      <c r="A61" t="s">
        <v>9</v>
      </c>
      <c r="B61" t="s">
        <v>42</v>
      </c>
      <c r="C61" t="s">
        <v>11</v>
      </c>
      <c r="D61" t="s">
        <v>47</v>
      </c>
      <c r="E61" s="2">
        <v>120</v>
      </c>
      <c r="F61">
        <v>3043</v>
      </c>
      <c r="G61">
        <v>10</v>
      </c>
      <c r="H61">
        <v>1786.9845091484799</v>
      </c>
      <c r="I61">
        <v>1.36995409993687E-2</v>
      </c>
      <c r="J61">
        <v>475</v>
      </c>
      <c r="K61">
        <v>1</v>
      </c>
      <c r="L61">
        <v>1819.1989045335499</v>
      </c>
      <c r="M61">
        <v>1.1733330011338E-3</v>
      </c>
      <c r="N61">
        <v>400</v>
      </c>
      <c r="O61">
        <v>1</v>
      </c>
      <c r="P61">
        <v>1819.1989045335499</v>
      </c>
      <c r="Q61">
        <v>8.0342082999777603E-2</v>
      </c>
      <c r="R61" t="e">
        <f t="shared" si="1"/>
        <v>#N/A</v>
      </c>
      <c r="S61" s="1"/>
      <c r="T61">
        <f t="shared" si="0"/>
        <v>0</v>
      </c>
    </row>
    <row r="62" spans="1:20" x14ac:dyDescent="0.3">
      <c r="A62" t="s">
        <v>9</v>
      </c>
      <c r="B62" t="s">
        <v>42</v>
      </c>
      <c r="C62" t="s">
        <v>13</v>
      </c>
      <c r="D62" t="s">
        <v>47</v>
      </c>
      <c r="E62" s="2">
        <v>120</v>
      </c>
      <c r="F62">
        <v>3043</v>
      </c>
      <c r="G62">
        <v>10</v>
      </c>
      <c r="H62">
        <v>78114240.486692399</v>
      </c>
      <c r="I62">
        <v>1.5033416999358401E-2</v>
      </c>
      <c r="J62">
        <v>218</v>
      </c>
      <c r="K62">
        <v>1</v>
      </c>
      <c r="L62">
        <v>40645691.946688302</v>
      </c>
      <c r="M62">
        <v>7.0724999932280004E-4</v>
      </c>
      <c r="N62">
        <v>400</v>
      </c>
      <c r="O62">
        <v>8</v>
      </c>
      <c r="P62">
        <v>77062138.563849106</v>
      </c>
      <c r="Q62">
        <v>0.16642608300025999</v>
      </c>
      <c r="R62" t="e">
        <f t="shared" si="1"/>
        <v>#N/A</v>
      </c>
      <c r="S62" s="1"/>
      <c r="T62">
        <f t="shared" si="0"/>
        <v>0</v>
      </c>
    </row>
    <row r="63" spans="1:20" x14ac:dyDescent="0.3">
      <c r="A63" t="s">
        <v>48</v>
      </c>
      <c r="B63" t="s">
        <v>49</v>
      </c>
      <c r="C63" t="s">
        <v>11</v>
      </c>
      <c r="D63" t="s">
        <v>50</v>
      </c>
      <c r="E63" s="2">
        <v>126</v>
      </c>
      <c r="F63">
        <v>3658</v>
      </c>
      <c r="G63">
        <v>10</v>
      </c>
      <c r="H63">
        <v>1189.48196931864</v>
      </c>
      <c r="I63">
        <v>1.7930957999851602E-2</v>
      </c>
      <c r="J63">
        <v>4071</v>
      </c>
      <c r="K63">
        <v>3</v>
      </c>
      <c r="L63">
        <v>1371.61975136554</v>
      </c>
      <c r="M63">
        <v>8.9517500000510994E-3</v>
      </c>
      <c r="N63">
        <v>400</v>
      </c>
      <c r="O63">
        <v>11</v>
      </c>
      <c r="P63">
        <v>1196.2922916704499</v>
      </c>
      <c r="Q63">
        <v>0.28249949999917501</v>
      </c>
      <c r="R63" t="e">
        <f t="shared" si="1"/>
        <v>#N/A</v>
      </c>
      <c r="S63" s="1"/>
      <c r="T63">
        <f t="shared" si="0"/>
        <v>0</v>
      </c>
    </row>
    <row r="64" spans="1:20" x14ac:dyDescent="0.3">
      <c r="A64" t="s">
        <v>48</v>
      </c>
      <c r="B64" t="s">
        <v>49</v>
      </c>
      <c r="C64" t="s">
        <v>13</v>
      </c>
      <c r="D64" t="s">
        <v>50</v>
      </c>
      <c r="E64" s="2">
        <v>126</v>
      </c>
      <c r="F64">
        <v>3658</v>
      </c>
      <c r="G64">
        <v>10</v>
      </c>
      <c r="H64">
        <v>461964.02772322099</v>
      </c>
      <c r="I64">
        <v>1.82332080003106E-2</v>
      </c>
      <c r="J64">
        <v>230</v>
      </c>
      <c r="K64">
        <v>12</v>
      </c>
      <c r="L64">
        <v>394179.16099193197</v>
      </c>
      <c r="M64">
        <v>7.7837500066379995E-4</v>
      </c>
      <c r="N64">
        <v>400</v>
      </c>
      <c r="O64">
        <v>12</v>
      </c>
      <c r="P64">
        <v>583506.99851844402</v>
      </c>
      <c r="Q64">
        <v>0.218617124999582</v>
      </c>
      <c r="R64" t="e">
        <f t="shared" si="1"/>
        <v>#N/A</v>
      </c>
      <c r="S64" s="1"/>
      <c r="T64">
        <f t="shared" si="0"/>
        <v>0</v>
      </c>
    </row>
    <row r="65" spans="1:20" x14ac:dyDescent="0.3">
      <c r="A65" t="s">
        <v>48</v>
      </c>
      <c r="B65" t="s">
        <v>49</v>
      </c>
      <c r="C65" t="s">
        <v>11</v>
      </c>
      <c r="D65" t="s">
        <v>51</v>
      </c>
      <c r="E65" s="2">
        <v>111</v>
      </c>
      <c r="F65">
        <v>2188</v>
      </c>
      <c r="G65">
        <v>10</v>
      </c>
      <c r="H65">
        <v>1300.28079069093</v>
      </c>
      <c r="I65">
        <v>9.5406249984079997E-3</v>
      </c>
      <c r="J65">
        <v>2647</v>
      </c>
      <c r="K65">
        <v>5</v>
      </c>
      <c r="L65">
        <v>1412.4797426438799</v>
      </c>
      <c r="M65">
        <v>6.0713750008288998E-3</v>
      </c>
      <c r="N65">
        <v>400</v>
      </c>
      <c r="O65">
        <v>8</v>
      </c>
      <c r="P65">
        <v>1375.9214917992999</v>
      </c>
      <c r="Q65">
        <v>0.21021466700040001</v>
      </c>
      <c r="R65" t="e">
        <f t="shared" si="1"/>
        <v>#N/A</v>
      </c>
      <c r="S65" s="1"/>
      <c r="T65">
        <f t="shared" si="0"/>
        <v>0</v>
      </c>
    </row>
    <row r="66" spans="1:20" x14ac:dyDescent="0.3">
      <c r="A66" t="s">
        <v>48</v>
      </c>
      <c r="B66" t="s">
        <v>49</v>
      </c>
      <c r="C66" t="s">
        <v>13</v>
      </c>
      <c r="D66" t="s">
        <v>51</v>
      </c>
      <c r="E66" s="2">
        <v>111</v>
      </c>
      <c r="F66">
        <v>2188</v>
      </c>
      <c r="G66">
        <v>10</v>
      </c>
      <c r="H66">
        <v>16415998.7825213</v>
      </c>
      <c r="I66">
        <v>1.0387708000052899E-2</v>
      </c>
      <c r="J66">
        <v>200</v>
      </c>
      <c r="K66">
        <v>13</v>
      </c>
      <c r="L66">
        <v>16213545.0827196</v>
      </c>
      <c r="M66">
        <v>7.3208399953719999E-4</v>
      </c>
      <c r="N66">
        <v>400</v>
      </c>
      <c r="O66">
        <v>11</v>
      </c>
      <c r="P66">
        <v>16479193.3115055</v>
      </c>
      <c r="Q66">
        <v>0.17715504100124199</v>
      </c>
      <c r="R66" t="e">
        <f t="shared" si="1"/>
        <v>#N/A</v>
      </c>
      <c r="S66" s="1"/>
      <c r="T66">
        <f t="shared" si="0"/>
        <v>0</v>
      </c>
    </row>
    <row r="67" spans="1:20" x14ac:dyDescent="0.3">
      <c r="A67" t="s">
        <v>48</v>
      </c>
      <c r="B67" t="s">
        <v>49</v>
      </c>
      <c r="C67" t="s">
        <v>11</v>
      </c>
      <c r="D67" t="s">
        <v>52</v>
      </c>
      <c r="E67" s="2">
        <v>115</v>
      </c>
      <c r="F67">
        <v>2558</v>
      </c>
      <c r="G67">
        <v>10</v>
      </c>
      <c r="H67">
        <v>931.723500984363</v>
      </c>
      <c r="I67">
        <v>1.11281250010506E-2</v>
      </c>
      <c r="J67">
        <v>2394</v>
      </c>
      <c r="K67">
        <v>2</v>
      </c>
      <c r="L67">
        <v>985.39166772190197</v>
      </c>
      <c r="M67">
        <v>5.3587909987982E-3</v>
      </c>
      <c r="N67">
        <v>400</v>
      </c>
      <c r="O67">
        <v>5</v>
      </c>
      <c r="P67">
        <v>958.25285532728606</v>
      </c>
      <c r="Q67">
        <v>0.155751333999432</v>
      </c>
      <c r="R67" t="e">
        <f t="shared" si="1"/>
        <v>#N/A</v>
      </c>
      <c r="S67" s="1"/>
      <c r="T67">
        <f t="shared" ref="T67:T130" si="2">IF(G67=K67,1,0)</f>
        <v>0</v>
      </c>
    </row>
    <row r="68" spans="1:20" x14ac:dyDescent="0.3">
      <c r="A68" t="s">
        <v>48</v>
      </c>
      <c r="B68" t="s">
        <v>49</v>
      </c>
      <c r="C68" t="s">
        <v>13</v>
      </c>
      <c r="D68" t="s">
        <v>52</v>
      </c>
      <c r="E68" s="2">
        <v>115</v>
      </c>
      <c r="F68">
        <v>2558</v>
      </c>
      <c r="G68">
        <v>10</v>
      </c>
      <c r="H68">
        <v>96655.893924084099</v>
      </c>
      <c r="I68">
        <v>1.24721249994763E-2</v>
      </c>
      <c r="J68">
        <v>209</v>
      </c>
      <c r="K68">
        <v>8</v>
      </c>
      <c r="L68">
        <v>98551.121210789206</v>
      </c>
      <c r="M68">
        <v>7.0450000021079996E-4</v>
      </c>
      <c r="N68">
        <v>400</v>
      </c>
      <c r="O68">
        <v>8</v>
      </c>
      <c r="P68">
        <v>111300.206786426</v>
      </c>
      <c r="Q68">
        <v>0.17224775000067799</v>
      </c>
      <c r="R68" t="e">
        <f t="shared" ref="R68:R131" si="3">IF(O68=G68,(P68-H68)/H68,NA())</f>
        <v>#N/A</v>
      </c>
      <c r="S68" s="1"/>
      <c r="T68">
        <f t="shared" si="2"/>
        <v>0</v>
      </c>
    </row>
    <row r="69" spans="1:20" x14ac:dyDescent="0.3">
      <c r="A69" t="s">
        <v>48</v>
      </c>
      <c r="B69" t="s">
        <v>49</v>
      </c>
      <c r="C69" t="s">
        <v>11</v>
      </c>
      <c r="D69" t="s">
        <v>53</v>
      </c>
      <c r="E69" s="2">
        <v>122</v>
      </c>
      <c r="F69">
        <v>3244</v>
      </c>
      <c r="G69">
        <v>10</v>
      </c>
      <c r="H69">
        <v>1238.03234706644</v>
      </c>
      <c r="I69">
        <v>1.45649589994718E-2</v>
      </c>
      <c r="J69">
        <v>2478</v>
      </c>
      <c r="K69">
        <v>4</v>
      </c>
      <c r="L69">
        <v>1401.69122069022</v>
      </c>
      <c r="M69">
        <v>5.6089999998221E-3</v>
      </c>
      <c r="N69">
        <v>400</v>
      </c>
      <c r="O69">
        <v>9</v>
      </c>
      <c r="P69">
        <v>1305.0818163065701</v>
      </c>
      <c r="Q69">
        <v>0.19755254200026601</v>
      </c>
      <c r="R69" t="e">
        <f t="shared" si="3"/>
        <v>#N/A</v>
      </c>
      <c r="S69" s="1"/>
      <c r="T69">
        <f t="shared" si="2"/>
        <v>0</v>
      </c>
    </row>
    <row r="70" spans="1:20" x14ac:dyDescent="0.3">
      <c r="A70" t="s">
        <v>48</v>
      </c>
      <c r="B70" t="s">
        <v>49</v>
      </c>
      <c r="C70" t="s">
        <v>13</v>
      </c>
      <c r="D70" t="s">
        <v>53</v>
      </c>
      <c r="E70" s="2">
        <v>122</v>
      </c>
      <c r="F70">
        <v>3244</v>
      </c>
      <c r="G70">
        <v>10</v>
      </c>
      <c r="H70">
        <v>2070250.1479766199</v>
      </c>
      <c r="I70">
        <v>1.58907499990164E-2</v>
      </c>
      <c r="J70">
        <v>222</v>
      </c>
      <c r="K70">
        <v>13</v>
      </c>
      <c r="L70">
        <v>2215131.0865964298</v>
      </c>
      <c r="M70">
        <v>8.1437500011809997E-4</v>
      </c>
      <c r="N70">
        <v>400</v>
      </c>
      <c r="O70">
        <v>12</v>
      </c>
      <c r="P70">
        <v>2219282.6686471398</v>
      </c>
      <c r="Q70">
        <v>0.17162245799954601</v>
      </c>
      <c r="R70" t="e">
        <f t="shared" si="3"/>
        <v>#N/A</v>
      </c>
      <c r="S70" s="1"/>
      <c r="T70">
        <f t="shared" si="2"/>
        <v>0</v>
      </c>
    </row>
    <row r="71" spans="1:20" x14ac:dyDescent="0.3">
      <c r="A71" t="s">
        <v>48</v>
      </c>
      <c r="B71" t="s">
        <v>49</v>
      </c>
      <c r="C71" t="s">
        <v>11</v>
      </c>
      <c r="D71" t="s">
        <v>54</v>
      </c>
      <c r="E71" s="2">
        <v>735</v>
      </c>
      <c r="F71">
        <v>253348</v>
      </c>
      <c r="G71">
        <v>10</v>
      </c>
      <c r="H71">
        <v>5440.7021329514901</v>
      </c>
      <c r="I71">
        <v>2.51493483300146</v>
      </c>
      <c r="J71">
        <v>22120</v>
      </c>
      <c r="K71">
        <v>26</v>
      </c>
      <c r="L71">
        <v>4440.2728923094701</v>
      </c>
      <c r="M71">
        <v>5.6169250001403201E-2</v>
      </c>
      <c r="N71">
        <v>400</v>
      </c>
      <c r="O71">
        <v>55</v>
      </c>
      <c r="P71">
        <v>3963.7235949573501</v>
      </c>
      <c r="Q71">
        <v>2.9447854579993802</v>
      </c>
      <c r="R71" t="e">
        <f t="shared" si="3"/>
        <v>#N/A</v>
      </c>
      <c r="S71" s="1"/>
      <c r="T71">
        <f t="shared" si="2"/>
        <v>0</v>
      </c>
    </row>
    <row r="72" spans="1:20" x14ac:dyDescent="0.3">
      <c r="A72" t="s">
        <v>48</v>
      </c>
      <c r="B72" t="s">
        <v>49</v>
      </c>
      <c r="C72" t="s">
        <v>13</v>
      </c>
      <c r="D72" t="s">
        <v>54</v>
      </c>
      <c r="E72" s="2">
        <v>735</v>
      </c>
      <c r="F72">
        <v>253348</v>
      </c>
      <c r="G72">
        <v>10</v>
      </c>
      <c r="H72">
        <v>159756.80109332799</v>
      </c>
      <c r="I72">
        <v>2.63040854200153</v>
      </c>
      <c r="J72">
        <v>1768</v>
      </c>
      <c r="K72">
        <v>72</v>
      </c>
      <c r="L72">
        <v>45897.899325161001</v>
      </c>
      <c r="M72">
        <v>6.4295000011043001E-3</v>
      </c>
      <c r="N72">
        <v>400</v>
      </c>
      <c r="O72">
        <v>70</v>
      </c>
      <c r="P72">
        <v>65094.909890348499</v>
      </c>
      <c r="Q72">
        <v>2.3668349580002501</v>
      </c>
      <c r="R72" t="e">
        <f t="shared" si="3"/>
        <v>#N/A</v>
      </c>
      <c r="S72" s="1"/>
      <c r="T72">
        <f t="shared" si="2"/>
        <v>0</v>
      </c>
    </row>
    <row r="73" spans="1:20" x14ac:dyDescent="0.3">
      <c r="A73" t="s">
        <v>48</v>
      </c>
      <c r="B73" t="s">
        <v>55</v>
      </c>
      <c r="C73" t="s">
        <v>11</v>
      </c>
      <c r="D73" t="s">
        <v>56</v>
      </c>
      <c r="E73" s="2">
        <v>136</v>
      </c>
      <c r="F73">
        <v>4763</v>
      </c>
      <c r="G73">
        <v>10</v>
      </c>
      <c r="H73">
        <v>1327.73514340783</v>
      </c>
      <c r="I73">
        <v>2.4079167000309099E-2</v>
      </c>
      <c r="J73">
        <v>3083</v>
      </c>
      <c r="K73">
        <v>4</v>
      </c>
      <c r="L73">
        <v>1415.3597817375601</v>
      </c>
      <c r="M73">
        <v>6.9386249997478002E-3</v>
      </c>
      <c r="N73">
        <v>400</v>
      </c>
      <c r="O73">
        <v>10</v>
      </c>
      <c r="P73">
        <v>1345.8224238970799</v>
      </c>
      <c r="Q73">
        <v>0.25347516699912298</v>
      </c>
      <c r="R73">
        <f t="shared" si="3"/>
        <v>1.3622657032957798E-2</v>
      </c>
      <c r="S73" s="1"/>
      <c r="T73">
        <f t="shared" si="2"/>
        <v>0</v>
      </c>
    </row>
    <row r="74" spans="1:20" x14ac:dyDescent="0.3">
      <c r="A74" t="s">
        <v>48</v>
      </c>
      <c r="B74" t="s">
        <v>55</v>
      </c>
      <c r="C74" t="s">
        <v>13</v>
      </c>
      <c r="D74" t="s">
        <v>56</v>
      </c>
      <c r="E74" s="2">
        <v>136</v>
      </c>
      <c r="F74">
        <v>4763</v>
      </c>
      <c r="G74">
        <v>10</v>
      </c>
      <c r="H74">
        <v>2771588.3404962802</v>
      </c>
      <c r="I74">
        <v>2.5001542000609299E-2</v>
      </c>
      <c r="J74">
        <v>251</v>
      </c>
      <c r="K74">
        <v>11</v>
      </c>
      <c r="L74">
        <v>3035177.0418911302</v>
      </c>
      <c r="M74">
        <v>8.6237499999690002E-4</v>
      </c>
      <c r="N74">
        <v>400</v>
      </c>
      <c r="O74">
        <v>13</v>
      </c>
      <c r="P74">
        <v>3097731.0785584198</v>
      </c>
      <c r="Q74">
        <v>0.24281333300132199</v>
      </c>
      <c r="R74" t="e">
        <f t="shared" si="3"/>
        <v>#N/A</v>
      </c>
      <c r="S74" s="1"/>
      <c r="T74">
        <f t="shared" si="2"/>
        <v>0</v>
      </c>
    </row>
    <row r="75" spans="1:20" x14ac:dyDescent="0.3">
      <c r="A75" t="s">
        <v>48</v>
      </c>
      <c r="B75" t="s">
        <v>55</v>
      </c>
      <c r="C75" t="s">
        <v>11</v>
      </c>
      <c r="D75" t="s">
        <v>57</v>
      </c>
      <c r="E75" s="2">
        <v>116</v>
      </c>
      <c r="F75">
        <v>2653</v>
      </c>
      <c r="G75">
        <v>10</v>
      </c>
      <c r="H75">
        <v>518.34831617008797</v>
      </c>
      <c r="I75">
        <v>1.15955410001333E-2</v>
      </c>
      <c r="J75">
        <v>2063</v>
      </c>
      <c r="K75">
        <v>5</v>
      </c>
      <c r="L75">
        <v>668.45667378733106</v>
      </c>
      <c r="M75">
        <v>4.8716250003053001E-3</v>
      </c>
      <c r="N75">
        <v>400</v>
      </c>
      <c r="O75">
        <v>9</v>
      </c>
      <c r="P75">
        <v>601.120202069426</v>
      </c>
      <c r="Q75">
        <v>0.18682537499989799</v>
      </c>
      <c r="R75" t="e">
        <f t="shared" si="3"/>
        <v>#N/A</v>
      </c>
      <c r="S75" s="1"/>
      <c r="T75">
        <f t="shared" si="2"/>
        <v>0</v>
      </c>
    </row>
    <row r="76" spans="1:20" x14ac:dyDescent="0.3">
      <c r="A76" t="s">
        <v>48</v>
      </c>
      <c r="B76" t="s">
        <v>55</v>
      </c>
      <c r="C76" t="s">
        <v>13</v>
      </c>
      <c r="D76" t="s">
        <v>57</v>
      </c>
      <c r="E76" s="2">
        <v>116</v>
      </c>
      <c r="F76">
        <v>2653</v>
      </c>
      <c r="G76">
        <v>10</v>
      </c>
      <c r="H76">
        <v>13588.339085126499</v>
      </c>
      <c r="I76">
        <v>1.34996670003602E-2</v>
      </c>
      <c r="J76">
        <v>521</v>
      </c>
      <c r="K76">
        <v>10</v>
      </c>
      <c r="L76">
        <v>13588.339085126499</v>
      </c>
      <c r="M76">
        <v>1.6224589999183001E-3</v>
      </c>
      <c r="N76">
        <v>400</v>
      </c>
      <c r="O76">
        <v>10</v>
      </c>
      <c r="P76">
        <v>29331.651240426199</v>
      </c>
      <c r="Q76">
        <v>0.14531579100003</v>
      </c>
      <c r="R76">
        <f t="shared" si="3"/>
        <v>1.1585898803873673</v>
      </c>
      <c r="S76" s="1"/>
      <c r="T76">
        <f t="shared" si="2"/>
        <v>1</v>
      </c>
    </row>
    <row r="77" spans="1:20" x14ac:dyDescent="0.3">
      <c r="A77" t="s">
        <v>48</v>
      </c>
      <c r="B77" t="s">
        <v>55</v>
      </c>
      <c r="C77" t="s">
        <v>11</v>
      </c>
      <c r="D77" t="s">
        <v>58</v>
      </c>
      <c r="E77" s="2">
        <v>123</v>
      </c>
      <c r="F77">
        <v>3346</v>
      </c>
      <c r="G77">
        <v>10</v>
      </c>
      <c r="H77">
        <v>1335.6099523795999</v>
      </c>
      <c r="I77">
        <v>1.81891660013207E-2</v>
      </c>
      <c r="J77">
        <v>2116</v>
      </c>
      <c r="K77">
        <v>6</v>
      </c>
      <c r="L77">
        <v>1461.7521017951999</v>
      </c>
      <c r="M77">
        <v>4.7165830001176003E-3</v>
      </c>
      <c r="N77">
        <v>400</v>
      </c>
      <c r="O77">
        <v>11</v>
      </c>
      <c r="P77">
        <v>1329.1768687296501</v>
      </c>
      <c r="Q77">
        <v>0.21196224999948701</v>
      </c>
      <c r="R77" t="e">
        <f t="shared" si="3"/>
        <v>#N/A</v>
      </c>
      <c r="S77" s="1"/>
      <c r="T77">
        <f t="shared" si="2"/>
        <v>0</v>
      </c>
    </row>
    <row r="78" spans="1:20" x14ac:dyDescent="0.3">
      <c r="A78" t="s">
        <v>48</v>
      </c>
      <c r="B78" t="s">
        <v>55</v>
      </c>
      <c r="C78" t="s">
        <v>13</v>
      </c>
      <c r="D78" t="s">
        <v>58</v>
      </c>
      <c r="E78" s="2">
        <v>123</v>
      </c>
      <c r="F78">
        <v>3346</v>
      </c>
      <c r="G78">
        <v>10</v>
      </c>
      <c r="H78">
        <v>5881539.8103872798</v>
      </c>
      <c r="I78">
        <v>1.6561832999286701E-2</v>
      </c>
      <c r="J78">
        <v>224</v>
      </c>
      <c r="K78">
        <v>13</v>
      </c>
      <c r="L78">
        <v>5765924.48832718</v>
      </c>
      <c r="M78">
        <v>8.0274999891109995E-4</v>
      </c>
      <c r="N78">
        <v>400</v>
      </c>
      <c r="O78">
        <v>11</v>
      </c>
      <c r="P78">
        <v>16123058.864799701</v>
      </c>
      <c r="Q78">
        <v>0.15703524999844301</v>
      </c>
      <c r="R78" t="e">
        <f t="shared" si="3"/>
        <v>#N/A</v>
      </c>
      <c r="S78" s="1"/>
      <c r="T78">
        <f t="shared" si="2"/>
        <v>0</v>
      </c>
    </row>
    <row r="79" spans="1:20" x14ac:dyDescent="0.3">
      <c r="A79" t="s">
        <v>48</v>
      </c>
      <c r="B79" t="s">
        <v>55</v>
      </c>
      <c r="C79" t="s">
        <v>11</v>
      </c>
      <c r="D79" t="s">
        <v>59</v>
      </c>
      <c r="E79" s="2">
        <v>117</v>
      </c>
      <c r="F79">
        <v>2749</v>
      </c>
      <c r="G79">
        <v>10</v>
      </c>
      <c r="H79">
        <v>690.47822581320702</v>
      </c>
      <c r="I79">
        <v>1.46194999997533E-2</v>
      </c>
      <c r="J79">
        <v>2674</v>
      </c>
      <c r="K79">
        <v>3</v>
      </c>
      <c r="L79">
        <v>813.83722281161795</v>
      </c>
      <c r="M79">
        <v>6.1504579989558996E-3</v>
      </c>
      <c r="N79">
        <v>400</v>
      </c>
      <c r="O79">
        <v>7</v>
      </c>
      <c r="P79">
        <v>716.12168373569898</v>
      </c>
      <c r="Q79">
        <v>0.19168558300043501</v>
      </c>
      <c r="R79" t="e">
        <f t="shared" si="3"/>
        <v>#N/A</v>
      </c>
      <c r="S79" s="1"/>
      <c r="T79">
        <f t="shared" si="2"/>
        <v>0</v>
      </c>
    </row>
    <row r="80" spans="1:20" x14ac:dyDescent="0.3">
      <c r="A80" t="s">
        <v>48</v>
      </c>
      <c r="B80" t="s">
        <v>55</v>
      </c>
      <c r="C80" t="s">
        <v>13</v>
      </c>
      <c r="D80" t="s">
        <v>59</v>
      </c>
      <c r="E80" s="2">
        <v>117</v>
      </c>
      <c r="F80">
        <v>2749</v>
      </c>
      <c r="G80">
        <v>10</v>
      </c>
      <c r="H80">
        <v>10437.016941493201</v>
      </c>
      <c r="I80">
        <v>1.3296958999490001E-2</v>
      </c>
      <c r="J80">
        <v>219</v>
      </c>
      <c r="K80">
        <v>9</v>
      </c>
      <c r="L80">
        <v>10353.745308117301</v>
      </c>
      <c r="M80">
        <v>7.2916699900810004E-4</v>
      </c>
      <c r="N80">
        <v>400</v>
      </c>
      <c r="O80">
        <v>11</v>
      </c>
      <c r="P80">
        <v>10967.4455344998</v>
      </c>
      <c r="Q80">
        <v>0.150139249999483</v>
      </c>
      <c r="R80" t="e">
        <f t="shared" si="3"/>
        <v>#N/A</v>
      </c>
      <c r="S80" s="1"/>
      <c r="T80">
        <f t="shared" si="2"/>
        <v>0</v>
      </c>
    </row>
    <row r="81" spans="1:20" x14ac:dyDescent="0.3">
      <c r="A81" t="s">
        <v>48</v>
      </c>
      <c r="B81" t="s">
        <v>55</v>
      </c>
      <c r="C81" t="s">
        <v>11</v>
      </c>
      <c r="D81" t="s">
        <v>60</v>
      </c>
      <c r="E81" s="2">
        <v>738</v>
      </c>
      <c r="F81">
        <v>255496</v>
      </c>
      <c r="G81">
        <v>10</v>
      </c>
      <c r="H81">
        <v>6334.8321570067501</v>
      </c>
      <c r="I81">
        <v>2.5634080420004399</v>
      </c>
      <c r="J81">
        <v>30032</v>
      </c>
      <c r="K81">
        <v>17</v>
      </c>
      <c r="L81">
        <v>5857.1387548229204</v>
      </c>
      <c r="M81">
        <v>7.2176790999947102E-2</v>
      </c>
      <c r="N81">
        <v>400</v>
      </c>
      <c r="O81">
        <v>56</v>
      </c>
      <c r="P81">
        <v>5207.1798242390596</v>
      </c>
      <c r="Q81">
        <v>2.7135004999999999</v>
      </c>
      <c r="R81" t="e">
        <f t="shared" si="3"/>
        <v>#N/A</v>
      </c>
      <c r="S81" s="1"/>
      <c r="T81">
        <f t="shared" si="2"/>
        <v>0</v>
      </c>
    </row>
    <row r="82" spans="1:20" x14ac:dyDescent="0.3">
      <c r="A82" t="s">
        <v>48</v>
      </c>
      <c r="B82" t="s">
        <v>55</v>
      </c>
      <c r="C82" t="s">
        <v>13</v>
      </c>
      <c r="D82" t="s">
        <v>60</v>
      </c>
      <c r="E82" s="2">
        <v>738</v>
      </c>
      <c r="F82">
        <v>255496</v>
      </c>
      <c r="G82">
        <v>10</v>
      </c>
      <c r="H82">
        <v>570627.45859698998</v>
      </c>
      <c r="I82">
        <v>2.6186703330004</v>
      </c>
      <c r="J82">
        <v>1485</v>
      </c>
      <c r="K82">
        <v>74</v>
      </c>
      <c r="L82">
        <v>248455.88442945501</v>
      </c>
      <c r="M82">
        <v>5.8432500009075001E-3</v>
      </c>
      <c r="N82">
        <v>400</v>
      </c>
      <c r="O82">
        <v>67</v>
      </c>
      <c r="P82">
        <v>345366.15851823997</v>
      </c>
      <c r="Q82">
        <v>2.3555539579992901</v>
      </c>
      <c r="R82" t="e">
        <f t="shared" si="3"/>
        <v>#N/A</v>
      </c>
      <c r="S82" s="1"/>
      <c r="T82">
        <f t="shared" si="2"/>
        <v>0</v>
      </c>
    </row>
    <row r="83" spans="1:20" x14ac:dyDescent="0.3">
      <c r="A83" t="s">
        <v>48</v>
      </c>
      <c r="B83" t="s">
        <v>61</v>
      </c>
      <c r="C83" t="s">
        <v>11</v>
      </c>
      <c r="D83" t="s">
        <v>62</v>
      </c>
      <c r="E83" s="2">
        <v>162</v>
      </c>
      <c r="F83">
        <v>8104</v>
      </c>
      <c r="G83">
        <v>10</v>
      </c>
      <c r="H83">
        <v>1298.74977702859</v>
      </c>
      <c r="I83">
        <v>4.2590000000927802E-2</v>
      </c>
      <c r="J83">
        <v>5477</v>
      </c>
      <c r="K83">
        <v>5</v>
      </c>
      <c r="L83">
        <v>1417.4123663767</v>
      </c>
      <c r="M83">
        <v>1.2621375000890099E-2</v>
      </c>
      <c r="N83">
        <v>400</v>
      </c>
      <c r="O83">
        <v>9</v>
      </c>
      <c r="P83">
        <v>1345.46760113249</v>
      </c>
      <c r="Q83">
        <v>0.35822929200003201</v>
      </c>
      <c r="R83" t="e">
        <f t="shared" si="3"/>
        <v>#N/A</v>
      </c>
      <c r="S83" s="1"/>
      <c r="T83">
        <f t="shared" si="2"/>
        <v>0</v>
      </c>
    </row>
    <row r="84" spans="1:20" x14ac:dyDescent="0.3">
      <c r="A84" t="s">
        <v>48</v>
      </c>
      <c r="B84" t="s">
        <v>61</v>
      </c>
      <c r="C84" t="s">
        <v>13</v>
      </c>
      <c r="D84" t="s">
        <v>62</v>
      </c>
      <c r="E84" s="2">
        <v>162</v>
      </c>
      <c r="F84">
        <v>8104</v>
      </c>
      <c r="G84">
        <v>10</v>
      </c>
      <c r="H84">
        <v>187834.30239375899</v>
      </c>
      <c r="I84">
        <v>7.1406708000722505E-2</v>
      </c>
      <c r="J84">
        <v>309</v>
      </c>
      <c r="K84">
        <v>14</v>
      </c>
      <c r="L84">
        <v>194752.82594536099</v>
      </c>
      <c r="M84">
        <v>1.0329590004403001E-3</v>
      </c>
      <c r="N84">
        <v>400</v>
      </c>
      <c r="O84">
        <v>14</v>
      </c>
      <c r="P84">
        <v>193411.83337867199</v>
      </c>
      <c r="Q84">
        <v>0.2910204589989</v>
      </c>
      <c r="R84" t="e">
        <f t="shared" si="3"/>
        <v>#N/A</v>
      </c>
      <c r="S84" s="1"/>
      <c r="T84">
        <f t="shared" si="2"/>
        <v>0</v>
      </c>
    </row>
    <row r="85" spans="1:20" x14ac:dyDescent="0.3">
      <c r="A85" t="s">
        <v>48</v>
      </c>
      <c r="B85" t="s">
        <v>61</v>
      </c>
      <c r="C85" t="s">
        <v>11</v>
      </c>
      <c r="D85" t="s">
        <v>63</v>
      </c>
      <c r="E85" s="2">
        <v>122</v>
      </c>
      <c r="F85">
        <v>3244</v>
      </c>
      <c r="G85">
        <v>10</v>
      </c>
      <c r="H85">
        <v>965.12750272286098</v>
      </c>
      <c r="I85">
        <v>1.6020625000237401E-2</v>
      </c>
      <c r="J85">
        <v>2024</v>
      </c>
      <c r="K85">
        <v>6</v>
      </c>
      <c r="L85">
        <v>1059.57164559994</v>
      </c>
      <c r="M85">
        <v>4.7190409986796996E-3</v>
      </c>
      <c r="N85">
        <v>400</v>
      </c>
      <c r="O85">
        <v>10</v>
      </c>
      <c r="P85">
        <v>994.32620874364295</v>
      </c>
      <c r="Q85">
        <v>0.19228029100122501</v>
      </c>
      <c r="R85">
        <f t="shared" si="3"/>
        <v>3.0253729106677896E-2</v>
      </c>
      <c r="S85" s="1"/>
      <c r="T85">
        <f t="shared" si="2"/>
        <v>0</v>
      </c>
    </row>
    <row r="86" spans="1:20" x14ac:dyDescent="0.3">
      <c r="A86" t="s">
        <v>48</v>
      </c>
      <c r="B86" t="s">
        <v>61</v>
      </c>
      <c r="C86" t="s">
        <v>13</v>
      </c>
      <c r="D86" t="s">
        <v>63</v>
      </c>
      <c r="E86" s="2">
        <v>122</v>
      </c>
      <c r="F86">
        <v>3244</v>
      </c>
      <c r="G86">
        <v>10</v>
      </c>
      <c r="H86">
        <v>242191.319265745</v>
      </c>
      <c r="I86">
        <v>1.6131915999721899E-2</v>
      </c>
      <c r="J86">
        <v>222</v>
      </c>
      <c r="K86">
        <v>13</v>
      </c>
      <c r="L86">
        <v>240062.14194676801</v>
      </c>
      <c r="M86">
        <v>7.6295799954090001E-4</v>
      </c>
      <c r="N86">
        <v>400</v>
      </c>
      <c r="O86">
        <v>10</v>
      </c>
      <c r="P86">
        <v>274166.65840898198</v>
      </c>
      <c r="Q86">
        <v>0.17993949999981801</v>
      </c>
      <c r="R86">
        <f t="shared" si="3"/>
        <v>0.13202512476573103</v>
      </c>
      <c r="S86" s="1"/>
      <c r="T86">
        <f t="shared" si="2"/>
        <v>0</v>
      </c>
    </row>
    <row r="87" spans="1:20" x14ac:dyDescent="0.3">
      <c r="A87" t="s">
        <v>48</v>
      </c>
      <c r="B87" t="s">
        <v>61</v>
      </c>
      <c r="C87" t="s">
        <v>11</v>
      </c>
      <c r="D87" t="s">
        <v>64</v>
      </c>
      <c r="E87" s="2">
        <v>118</v>
      </c>
      <c r="F87">
        <v>2846</v>
      </c>
      <c r="G87">
        <v>10</v>
      </c>
      <c r="H87">
        <v>1615.66433617185</v>
      </c>
      <c r="I87">
        <v>1.5362000000095501E-2</v>
      </c>
      <c r="J87">
        <v>769</v>
      </c>
      <c r="K87">
        <v>1</v>
      </c>
      <c r="L87">
        <v>1634.5698089182299</v>
      </c>
      <c r="M87">
        <v>1.8280000003868999E-3</v>
      </c>
      <c r="N87">
        <v>400</v>
      </c>
      <c r="O87">
        <v>2</v>
      </c>
      <c r="P87">
        <v>1615.14548495494</v>
      </c>
      <c r="Q87">
        <v>0.133961457999248</v>
      </c>
      <c r="R87" t="e">
        <f t="shared" si="3"/>
        <v>#N/A</v>
      </c>
      <c r="S87" s="1"/>
      <c r="T87">
        <f t="shared" si="2"/>
        <v>0</v>
      </c>
    </row>
    <row r="88" spans="1:20" x14ac:dyDescent="0.3">
      <c r="A88" t="s">
        <v>48</v>
      </c>
      <c r="B88" t="s">
        <v>61</v>
      </c>
      <c r="C88" t="s">
        <v>13</v>
      </c>
      <c r="D88" t="s">
        <v>64</v>
      </c>
      <c r="E88" s="2">
        <v>118</v>
      </c>
      <c r="F88">
        <v>2846</v>
      </c>
      <c r="G88">
        <v>10</v>
      </c>
      <c r="H88">
        <v>20839208.884853899</v>
      </c>
      <c r="I88">
        <v>1.3743625000643E-2</v>
      </c>
      <c r="J88">
        <v>214</v>
      </c>
      <c r="K88">
        <v>1</v>
      </c>
      <c r="L88">
        <v>10894084.826228</v>
      </c>
      <c r="M88">
        <v>7.0983300065560002E-4</v>
      </c>
      <c r="N88">
        <v>400</v>
      </c>
      <c r="O88">
        <v>1</v>
      </c>
      <c r="P88">
        <v>10894084.826228101</v>
      </c>
      <c r="Q88">
        <v>5.9264707999318399E-2</v>
      </c>
      <c r="R88" t="e">
        <f t="shared" si="3"/>
        <v>#N/A</v>
      </c>
      <c r="S88" s="1"/>
      <c r="T88">
        <f t="shared" si="2"/>
        <v>0</v>
      </c>
    </row>
    <row r="89" spans="1:20" x14ac:dyDescent="0.3">
      <c r="A89" t="s">
        <v>48</v>
      </c>
      <c r="B89" t="s">
        <v>61</v>
      </c>
      <c r="C89" t="s">
        <v>11</v>
      </c>
      <c r="D89" t="s">
        <v>65</v>
      </c>
      <c r="E89" s="2">
        <v>153</v>
      </c>
      <c r="F89">
        <v>6871</v>
      </c>
      <c r="G89">
        <v>10</v>
      </c>
      <c r="H89">
        <v>1693.43957576093</v>
      </c>
      <c r="I89">
        <v>3.6782042001504998E-2</v>
      </c>
      <c r="J89">
        <v>4371</v>
      </c>
      <c r="K89">
        <v>4</v>
      </c>
      <c r="L89">
        <v>1848.80154283243</v>
      </c>
      <c r="M89">
        <v>9.9598750002769E-3</v>
      </c>
      <c r="N89">
        <v>400</v>
      </c>
      <c r="O89">
        <v>12</v>
      </c>
      <c r="P89">
        <v>1676.8048763280599</v>
      </c>
      <c r="Q89">
        <v>0.30712337500153802</v>
      </c>
      <c r="R89" t="e">
        <f t="shared" si="3"/>
        <v>#N/A</v>
      </c>
      <c r="S89" s="1"/>
      <c r="T89">
        <f t="shared" si="2"/>
        <v>0</v>
      </c>
    </row>
    <row r="90" spans="1:20" x14ac:dyDescent="0.3">
      <c r="A90" t="s">
        <v>48</v>
      </c>
      <c r="B90" t="s">
        <v>61</v>
      </c>
      <c r="C90" t="s">
        <v>13</v>
      </c>
      <c r="D90" t="s">
        <v>65</v>
      </c>
      <c r="E90" s="2">
        <v>153</v>
      </c>
      <c r="F90">
        <v>6871</v>
      </c>
      <c r="G90">
        <v>10</v>
      </c>
      <c r="H90">
        <v>13958184.3749853</v>
      </c>
      <c r="I90">
        <v>3.8037750000512398E-2</v>
      </c>
      <c r="J90">
        <v>285</v>
      </c>
      <c r="K90">
        <v>14</v>
      </c>
      <c r="L90">
        <v>14417794.706991</v>
      </c>
      <c r="M90">
        <v>1.0035839986812E-3</v>
      </c>
      <c r="N90">
        <v>400</v>
      </c>
      <c r="O90">
        <v>14</v>
      </c>
      <c r="P90">
        <v>14716503.7844752</v>
      </c>
      <c r="Q90">
        <v>0.27262125000015602</v>
      </c>
      <c r="R90" t="e">
        <f t="shared" si="3"/>
        <v>#N/A</v>
      </c>
      <c r="S90" s="1"/>
      <c r="T90">
        <f t="shared" si="2"/>
        <v>0</v>
      </c>
    </row>
    <row r="91" spans="1:20" x14ac:dyDescent="0.3">
      <c r="A91" t="s">
        <v>48</v>
      </c>
      <c r="B91" t="s">
        <v>61</v>
      </c>
      <c r="C91" t="s">
        <v>11</v>
      </c>
      <c r="D91" t="s">
        <v>66</v>
      </c>
      <c r="E91" s="2">
        <v>737</v>
      </c>
      <c r="F91">
        <v>254779</v>
      </c>
      <c r="G91">
        <v>10</v>
      </c>
      <c r="H91">
        <v>7675.3270040017096</v>
      </c>
      <c r="I91">
        <v>2.60958020799989</v>
      </c>
      <c r="J91">
        <v>44306</v>
      </c>
      <c r="K91">
        <v>10</v>
      </c>
      <c r="L91">
        <v>7675.3270040017096</v>
      </c>
      <c r="M91">
        <v>0.101832625001407</v>
      </c>
      <c r="N91">
        <v>400</v>
      </c>
      <c r="O91">
        <v>27</v>
      </c>
      <c r="P91">
        <v>7369.2627301625098</v>
      </c>
      <c r="Q91">
        <v>2.79756645899942</v>
      </c>
      <c r="R91" t="e">
        <f t="shared" si="3"/>
        <v>#N/A</v>
      </c>
      <c r="S91" s="1"/>
      <c r="T91">
        <f t="shared" si="2"/>
        <v>1</v>
      </c>
    </row>
    <row r="92" spans="1:20" x14ac:dyDescent="0.3">
      <c r="A92" t="s">
        <v>48</v>
      </c>
      <c r="B92" t="s">
        <v>61</v>
      </c>
      <c r="C92" t="s">
        <v>13</v>
      </c>
      <c r="D92" t="s">
        <v>66</v>
      </c>
      <c r="E92" s="2">
        <v>737</v>
      </c>
      <c r="F92">
        <v>254779</v>
      </c>
      <c r="G92">
        <v>10</v>
      </c>
      <c r="H92">
        <v>3251509.3920501</v>
      </c>
      <c r="I92">
        <v>2.7451325000001798</v>
      </c>
      <c r="J92">
        <v>1452</v>
      </c>
      <c r="K92">
        <v>43</v>
      </c>
      <c r="L92">
        <v>3590688.05461891</v>
      </c>
      <c r="M92">
        <v>5.2070419988011997E-3</v>
      </c>
      <c r="N92">
        <v>400</v>
      </c>
      <c r="O92">
        <v>52</v>
      </c>
      <c r="P92">
        <v>3988194.1042792299</v>
      </c>
      <c r="Q92">
        <v>2.3879118749991899</v>
      </c>
      <c r="R92" t="e">
        <f t="shared" si="3"/>
        <v>#N/A</v>
      </c>
      <c r="S92" s="1"/>
      <c r="T92">
        <f t="shared" si="2"/>
        <v>0</v>
      </c>
    </row>
    <row r="93" spans="1:20" x14ac:dyDescent="0.3">
      <c r="A93" t="s">
        <v>48</v>
      </c>
      <c r="B93" t="s">
        <v>67</v>
      </c>
      <c r="C93" t="s">
        <v>11</v>
      </c>
      <c r="D93" t="s">
        <v>68</v>
      </c>
      <c r="E93" s="2">
        <v>164</v>
      </c>
      <c r="F93">
        <v>8389</v>
      </c>
      <c r="G93">
        <v>10</v>
      </c>
      <c r="H93">
        <v>1922.4030860863099</v>
      </c>
      <c r="I93">
        <v>4.3381584000599098E-2</v>
      </c>
      <c r="J93">
        <v>8341</v>
      </c>
      <c r="K93">
        <v>1</v>
      </c>
      <c r="L93">
        <v>2140.5476767314999</v>
      </c>
      <c r="M93">
        <v>1.85707910004566E-2</v>
      </c>
      <c r="N93">
        <v>400</v>
      </c>
      <c r="O93">
        <v>13</v>
      </c>
      <c r="P93">
        <v>1904.1694456559601</v>
      </c>
      <c r="Q93">
        <v>0.351733999999851</v>
      </c>
      <c r="R93" t="e">
        <f t="shared" si="3"/>
        <v>#N/A</v>
      </c>
      <c r="S93" s="1"/>
      <c r="T93">
        <f t="shared" si="2"/>
        <v>0</v>
      </c>
    </row>
    <row r="94" spans="1:20" x14ac:dyDescent="0.3">
      <c r="A94" t="s">
        <v>48</v>
      </c>
      <c r="B94" t="s">
        <v>67</v>
      </c>
      <c r="C94" t="s">
        <v>13</v>
      </c>
      <c r="D94" t="s">
        <v>68</v>
      </c>
      <c r="E94" s="2">
        <v>164</v>
      </c>
      <c r="F94">
        <v>8389</v>
      </c>
      <c r="G94">
        <v>10</v>
      </c>
      <c r="H94">
        <v>4574415.7148281401</v>
      </c>
      <c r="I94">
        <v>4.7245249999832498E-2</v>
      </c>
      <c r="J94">
        <v>306</v>
      </c>
      <c r="K94">
        <v>18</v>
      </c>
      <c r="L94">
        <v>3707822.78610542</v>
      </c>
      <c r="M94">
        <v>1.0991249982907E-3</v>
      </c>
      <c r="N94">
        <v>400</v>
      </c>
      <c r="O94">
        <v>16</v>
      </c>
      <c r="P94">
        <v>4839323.5736514898</v>
      </c>
      <c r="Q94">
        <v>0.27969687500080898</v>
      </c>
      <c r="R94" t="e">
        <f t="shared" si="3"/>
        <v>#N/A</v>
      </c>
      <c r="S94" s="1"/>
      <c r="T94">
        <f t="shared" si="2"/>
        <v>0</v>
      </c>
    </row>
    <row r="95" spans="1:20" x14ac:dyDescent="0.3">
      <c r="A95" t="s">
        <v>48</v>
      </c>
      <c r="B95" t="s">
        <v>67</v>
      </c>
      <c r="C95" t="s">
        <v>11</v>
      </c>
      <c r="D95" t="s">
        <v>69</v>
      </c>
      <c r="E95" s="2">
        <v>126</v>
      </c>
      <c r="F95">
        <v>3658</v>
      </c>
      <c r="G95">
        <v>10</v>
      </c>
      <c r="H95">
        <v>1642.53533727271</v>
      </c>
      <c r="I95">
        <v>1.6662666999764E-2</v>
      </c>
      <c r="J95">
        <v>2636</v>
      </c>
      <c r="K95">
        <v>4</v>
      </c>
      <c r="L95">
        <v>1716.9244751204401</v>
      </c>
      <c r="M95">
        <v>6.0594999995372996E-3</v>
      </c>
      <c r="N95">
        <v>400</v>
      </c>
      <c r="O95">
        <v>7</v>
      </c>
      <c r="P95">
        <v>1686.2915469219199</v>
      </c>
      <c r="Q95">
        <v>0.25402337500054201</v>
      </c>
      <c r="R95" t="e">
        <f t="shared" si="3"/>
        <v>#N/A</v>
      </c>
      <c r="S95" s="1"/>
      <c r="T95">
        <f t="shared" si="2"/>
        <v>0</v>
      </c>
    </row>
    <row r="96" spans="1:20" x14ac:dyDescent="0.3">
      <c r="A96" t="s">
        <v>48</v>
      </c>
      <c r="B96" t="s">
        <v>67</v>
      </c>
      <c r="C96" t="s">
        <v>13</v>
      </c>
      <c r="D96" t="s">
        <v>69</v>
      </c>
      <c r="E96" s="2">
        <v>126</v>
      </c>
      <c r="F96">
        <v>3658</v>
      </c>
      <c r="G96">
        <v>10</v>
      </c>
      <c r="H96">
        <v>22350610.1865598</v>
      </c>
      <c r="I96">
        <v>2.05195419985102E-2</v>
      </c>
      <c r="J96">
        <v>230</v>
      </c>
      <c r="K96">
        <v>12</v>
      </c>
      <c r="L96">
        <v>23013859.6172686</v>
      </c>
      <c r="M96">
        <v>8.0400000115330003E-4</v>
      </c>
      <c r="N96">
        <v>400</v>
      </c>
      <c r="O96">
        <v>12</v>
      </c>
      <c r="P96">
        <v>25185563.973614801</v>
      </c>
      <c r="Q96">
        <v>0.206648041999869</v>
      </c>
      <c r="R96" t="e">
        <f t="shared" si="3"/>
        <v>#N/A</v>
      </c>
      <c r="S96" s="1"/>
      <c r="T96">
        <f t="shared" si="2"/>
        <v>0</v>
      </c>
    </row>
    <row r="97" spans="1:20" x14ac:dyDescent="0.3">
      <c r="A97" t="s">
        <v>48</v>
      </c>
      <c r="B97" t="s">
        <v>67</v>
      </c>
      <c r="C97" t="s">
        <v>11</v>
      </c>
      <c r="D97" t="s">
        <v>70</v>
      </c>
      <c r="E97" s="2">
        <v>118</v>
      </c>
      <c r="F97">
        <v>2846</v>
      </c>
      <c r="G97">
        <v>10</v>
      </c>
      <c r="H97">
        <v>517.32380025205202</v>
      </c>
      <c r="I97">
        <v>1.2693791000856399E-2</v>
      </c>
      <c r="J97">
        <v>1940</v>
      </c>
      <c r="K97">
        <v>5</v>
      </c>
      <c r="L97">
        <v>611.77363789921003</v>
      </c>
      <c r="M97">
        <v>4.4457089989009E-3</v>
      </c>
      <c r="N97">
        <v>400</v>
      </c>
      <c r="O97">
        <v>8</v>
      </c>
      <c r="P97">
        <v>560.87647316776395</v>
      </c>
      <c r="Q97">
        <v>0.23886374999892701</v>
      </c>
      <c r="R97" t="e">
        <f t="shared" si="3"/>
        <v>#N/A</v>
      </c>
      <c r="S97" s="1"/>
      <c r="T97">
        <f t="shared" si="2"/>
        <v>0</v>
      </c>
    </row>
    <row r="98" spans="1:20" x14ac:dyDescent="0.3">
      <c r="A98" t="s">
        <v>48</v>
      </c>
      <c r="B98" t="s">
        <v>67</v>
      </c>
      <c r="C98" t="s">
        <v>13</v>
      </c>
      <c r="D98" t="s">
        <v>70</v>
      </c>
      <c r="E98" s="2">
        <v>118</v>
      </c>
      <c r="F98">
        <v>2846</v>
      </c>
      <c r="G98">
        <v>10</v>
      </c>
      <c r="H98">
        <v>2942.3367061792201</v>
      </c>
      <c r="I98">
        <v>4.18959580001683E-2</v>
      </c>
      <c r="J98">
        <v>297</v>
      </c>
      <c r="K98">
        <v>11</v>
      </c>
      <c r="L98">
        <v>3060.2202154548499</v>
      </c>
      <c r="M98">
        <v>9.6695799948060001E-4</v>
      </c>
      <c r="N98">
        <v>400</v>
      </c>
      <c r="O98">
        <v>11</v>
      </c>
      <c r="P98">
        <v>4077.2916080452301</v>
      </c>
      <c r="Q98">
        <v>0.19391029199869</v>
      </c>
      <c r="R98" t="e">
        <f t="shared" si="3"/>
        <v>#N/A</v>
      </c>
      <c r="S98" s="1"/>
      <c r="T98">
        <f t="shared" si="2"/>
        <v>0</v>
      </c>
    </row>
    <row r="99" spans="1:20" x14ac:dyDescent="0.3">
      <c r="A99" t="s">
        <v>48</v>
      </c>
      <c r="B99" t="s">
        <v>67</v>
      </c>
      <c r="C99" t="s">
        <v>11</v>
      </c>
      <c r="D99" t="s">
        <v>71</v>
      </c>
      <c r="E99" s="2">
        <v>126</v>
      </c>
      <c r="F99">
        <v>3658</v>
      </c>
      <c r="G99">
        <v>10</v>
      </c>
      <c r="H99">
        <v>275.77164276639797</v>
      </c>
      <c r="I99">
        <v>1.6631250000500499E-2</v>
      </c>
      <c r="J99">
        <v>1929</v>
      </c>
      <c r="K99">
        <v>9</v>
      </c>
      <c r="L99">
        <v>286.71840157676098</v>
      </c>
      <c r="M99">
        <v>4.4076249996577999E-3</v>
      </c>
      <c r="N99">
        <v>400</v>
      </c>
      <c r="O99">
        <v>9</v>
      </c>
      <c r="P99">
        <v>388.12526355409602</v>
      </c>
      <c r="Q99">
        <v>0.21959095900092501</v>
      </c>
      <c r="R99" t="e">
        <f t="shared" si="3"/>
        <v>#N/A</v>
      </c>
      <c r="S99" s="1"/>
      <c r="T99">
        <f t="shared" si="2"/>
        <v>0</v>
      </c>
    </row>
    <row r="100" spans="1:20" x14ac:dyDescent="0.3">
      <c r="A100" t="s">
        <v>48</v>
      </c>
      <c r="B100" t="s">
        <v>67</v>
      </c>
      <c r="C100" t="s">
        <v>13</v>
      </c>
      <c r="D100" t="s">
        <v>71</v>
      </c>
      <c r="E100" s="2">
        <v>126</v>
      </c>
      <c r="F100">
        <v>3658</v>
      </c>
      <c r="G100">
        <v>10</v>
      </c>
      <c r="H100">
        <v>429.98661829485701</v>
      </c>
      <c r="I100">
        <v>1.8288749999555799E-2</v>
      </c>
      <c r="J100">
        <v>588</v>
      </c>
      <c r="K100">
        <v>11</v>
      </c>
      <c r="L100">
        <v>387.67754023511401</v>
      </c>
      <c r="M100">
        <v>1.8927080000139E-3</v>
      </c>
      <c r="N100">
        <v>400</v>
      </c>
      <c r="O100">
        <v>11</v>
      </c>
      <c r="P100">
        <v>937.55602934188198</v>
      </c>
      <c r="Q100">
        <v>0.17415162499855699</v>
      </c>
      <c r="R100" t="e">
        <f t="shared" si="3"/>
        <v>#N/A</v>
      </c>
      <c r="S100" s="1"/>
      <c r="T100">
        <f t="shared" si="2"/>
        <v>0</v>
      </c>
    </row>
    <row r="101" spans="1:20" x14ac:dyDescent="0.3">
      <c r="A101" t="s">
        <v>48</v>
      </c>
      <c r="B101" t="s">
        <v>67</v>
      </c>
      <c r="C101" t="s">
        <v>11</v>
      </c>
      <c r="D101" t="s">
        <v>72</v>
      </c>
      <c r="E101" s="2">
        <v>866</v>
      </c>
      <c r="F101">
        <v>355528</v>
      </c>
      <c r="G101">
        <v>10</v>
      </c>
      <c r="H101">
        <v>7621.7787993363199</v>
      </c>
      <c r="I101">
        <v>3.6947780000009498</v>
      </c>
      <c r="J101">
        <v>22877</v>
      </c>
      <c r="K101">
        <v>35</v>
      </c>
      <c r="L101">
        <v>5666.6210366209798</v>
      </c>
      <c r="M101">
        <v>5.7958792000135803E-2</v>
      </c>
      <c r="N101">
        <v>400</v>
      </c>
      <c r="O101">
        <v>69</v>
      </c>
      <c r="P101">
        <v>4958.1175009170302</v>
      </c>
      <c r="Q101">
        <v>3.3303402500005101</v>
      </c>
      <c r="R101" t="e">
        <f t="shared" si="3"/>
        <v>#N/A</v>
      </c>
      <c r="S101" s="1"/>
      <c r="T101">
        <f t="shared" si="2"/>
        <v>0</v>
      </c>
    </row>
    <row r="102" spans="1:20" x14ac:dyDescent="0.3">
      <c r="A102" t="s">
        <v>48</v>
      </c>
      <c r="B102" t="s">
        <v>67</v>
      </c>
      <c r="C102" t="s">
        <v>13</v>
      </c>
      <c r="D102" t="s">
        <v>72</v>
      </c>
      <c r="E102" s="2">
        <v>866</v>
      </c>
      <c r="F102">
        <v>355528</v>
      </c>
      <c r="G102">
        <v>10</v>
      </c>
      <c r="H102">
        <v>995949.94339209795</v>
      </c>
      <c r="I102">
        <v>4.0321652080001504</v>
      </c>
      <c r="J102">
        <v>2167</v>
      </c>
      <c r="K102">
        <v>84</v>
      </c>
      <c r="L102">
        <v>176969.67107313001</v>
      </c>
      <c r="M102">
        <v>8.2115830009569998E-3</v>
      </c>
      <c r="N102">
        <v>400</v>
      </c>
      <c r="O102">
        <v>78</v>
      </c>
      <c r="P102">
        <v>205639.833685077</v>
      </c>
      <c r="Q102">
        <v>2.6778262080006199</v>
      </c>
      <c r="R102" t="e">
        <f t="shared" si="3"/>
        <v>#N/A</v>
      </c>
      <c r="S102" s="1"/>
      <c r="T102">
        <f t="shared" si="2"/>
        <v>0</v>
      </c>
    </row>
    <row r="103" spans="1:20" x14ac:dyDescent="0.3">
      <c r="A103" t="s">
        <v>48</v>
      </c>
      <c r="B103" t="s">
        <v>73</v>
      </c>
      <c r="C103" t="s">
        <v>11</v>
      </c>
      <c r="D103" t="s">
        <v>74</v>
      </c>
      <c r="E103" s="2">
        <v>109</v>
      </c>
      <c r="F103">
        <v>2009</v>
      </c>
      <c r="G103">
        <v>10</v>
      </c>
      <c r="H103">
        <v>1334.0476184132399</v>
      </c>
      <c r="I103">
        <v>8.5193750001053004E-3</v>
      </c>
      <c r="J103">
        <v>2882</v>
      </c>
      <c r="K103">
        <v>2</v>
      </c>
      <c r="L103">
        <v>1496.2857787288799</v>
      </c>
      <c r="M103">
        <v>6.5283330004603998E-3</v>
      </c>
      <c r="N103">
        <v>400</v>
      </c>
      <c r="O103">
        <v>8</v>
      </c>
      <c r="P103">
        <v>1360.24728174401</v>
      </c>
      <c r="Q103">
        <v>0.16579783300039699</v>
      </c>
      <c r="R103" t="e">
        <f t="shared" si="3"/>
        <v>#N/A</v>
      </c>
      <c r="S103" s="1"/>
      <c r="T103">
        <f t="shared" si="2"/>
        <v>0</v>
      </c>
    </row>
    <row r="104" spans="1:20" x14ac:dyDescent="0.3">
      <c r="A104" t="s">
        <v>48</v>
      </c>
      <c r="B104" t="s">
        <v>73</v>
      </c>
      <c r="C104" t="s">
        <v>13</v>
      </c>
      <c r="D104" t="s">
        <v>74</v>
      </c>
      <c r="E104" s="2">
        <v>109</v>
      </c>
      <c r="F104">
        <v>2009</v>
      </c>
      <c r="G104">
        <v>10</v>
      </c>
      <c r="H104">
        <v>8959122.5550174396</v>
      </c>
      <c r="I104">
        <v>1.23827919996983E-2</v>
      </c>
      <c r="J104">
        <v>196</v>
      </c>
      <c r="K104">
        <v>11</v>
      </c>
      <c r="L104">
        <v>8883783.8575011399</v>
      </c>
      <c r="M104">
        <v>6.6754100043899998E-4</v>
      </c>
      <c r="N104">
        <v>400</v>
      </c>
      <c r="O104">
        <v>11</v>
      </c>
      <c r="P104">
        <v>9105213.7015461102</v>
      </c>
      <c r="Q104">
        <v>0.150081124998905</v>
      </c>
      <c r="R104" t="e">
        <f t="shared" si="3"/>
        <v>#N/A</v>
      </c>
      <c r="S104" s="1"/>
      <c r="T104">
        <f t="shared" si="2"/>
        <v>0</v>
      </c>
    </row>
    <row r="105" spans="1:20" x14ac:dyDescent="0.3">
      <c r="A105" t="s">
        <v>48</v>
      </c>
      <c r="B105" t="s">
        <v>73</v>
      </c>
      <c r="C105" t="s">
        <v>11</v>
      </c>
      <c r="D105" t="s">
        <v>75</v>
      </c>
      <c r="E105" s="2">
        <v>106</v>
      </c>
      <c r="F105">
        <v>1748</v>
      </c>
      <c r="G105">
        <v>10</v>
      </c>
      <c r="H105">
        <v>1074.39090906209</v>
      </c>
      <c r="I105">
        <v>7.1997080012805997E-3</v>
      </c>
      <c r="J105">
        <v>2480</v>
      </c>
      <c r="K105">
        <v>3</v>
      </c>
      <c r="L105">
        <v>1158.33857010322</v>
      </c>
      <c r="M105">
        <v>5.5388330001732997E-3</v>
      </c>
      <c r="N105">
        <v>400</v>
      </c>
      <c r="O105">
        <v>6</v>
      </c>
      <c r="P105">
        <v>1107.7196266475501</v>
      </c>
      <c r="Q105">
        <v>0.159196915999928</v>
      </c>
      <c r="R105" t="e">
        <f t="shared" si="3"/>
        <v>#N/A</v>
      </c>
      <c r="S105" s="1"/>
      <c r="T105">
        <f t="shared" si="2"/>
        <v>0</v>
      </c>
    </row>
    <row r="106" spans="1:20" x14ac:dyDescent="0.3">
      <c r="A106" t="s">
        <v>48</v>
      </c>
      <c r="B106" t="s">
        <v>73</v>
      </c>
      <c r="C106" t="s">
        <v>13</v>
      </c>
      <c r="D106" t="s">
        <v>75</v>
      </c>
      <c r="E106" s="2">
        <v>106</v>
      </c>
      <c r="F106">
        <v>1748</v>
      </c>
      <c r="G106">
        <v>10</v>
      </c>
      <c r="H106">
        <v>1208080.1432394299</v>
      </c>
      <c r="I106">
        <v>8.1929170009970992E-3</v>
      </c>
      <c r="J106">
        <v>190</v>
      </c>
      <c r="K106">
        <v>10</v>
      </c>
      <c r="L106">
        <v>1213276.9471205601</v>
      </c>
      <c r="M106">
        <v>6.4683399978089997E-4</v>
      </c>
      <c r="N106">
        <v>400</v>
      </c>
      <c r="O106">
        <v>10</v>
      </c>
      <c r="P106">
        <v>1352927.13428351</v>
      </c>
      <c r="Q106">
        <v>0.13555308299874</v>
      </c>
      <c r="R106">
        <f t="shared" si="3"/>
        <v>0.11989849502507122</v>
      </c>
      <c r="S106" s="1"/>
      <c r="T106">
        <f t="shared" si="2"/>
        <v>1</v>
      </c>
    </row>
    <row r="107" spans="1:20" x14ac:dyDescent="0.3">
      <c r="A107" t="s">
        <v>48</v>
      </c>
      <c r="B107" t="s">
        <v>73</v>
      </c>
      <c r="C107" t="s">
        <v>11</v>
      </c>
      <c r="D107" t="s">
        <v>76</v>
      </c>
      <c r="E107" s="2">
        <v>106</v>
      </c>
      <c r="F107">
        <v>1748</v>
      </c>
      <c r="G107">
        <v>10</v>
      </c>
      <c r="H107">
        <v>1415.2243072554099</v>
      </c>
      <c r="I107">
        <v>1.13460420016053E-2</v>
      </c>
      <c r="J107">
        <v>2743</v>
      </c>
      <c r="K107">
        <v>3</v>
      </c>
      <c r="L107">
        <v>1526.8630593258899</v>
      </c>
      <c r="M107">
        <v>6.2580420017183998E-3</v>
      </c>
      <c r="N107">
        <v>400</v>
      </c>
      <c r="O107">
        <v>8</v>
      </c>
      <c r="P107">
        <v>1456.0348662611</v>
      </c>
      <c r="Q107">
        <v>0.17591474999971901</v>
      </c>
      <c r="R107" t="e">
        <f t="shared" si="3"/>
        <v>#N/A</v>
      </c>
      <c r="S107" s="1"/>
      <c r="T107">
        <f t="shared" si="2"/>
        <v>0</v>
      </c>
    </row>
    <row r="108" spans="1:20" x14ac:dyDescent="0.3">
      <c r="A108" t="s">
        <v>48</v>
      </c>
      <c r="B108" t="s">
        <v>73</v>
      </c>
      <c r="C108" t="s">
        <v>13</v>
      </c>
      <c r="D108" t="s">
        <v>76</v>
      </c>
      <c r="E108" s="2">
        <v>106</v>
      </c>
      <c r="F108">
        <v>1748</v>
      </c>
      <c r="G108">
        <v>10</v>
      </c>
      <c r="H108">
        <v>20985709.426562</v>
      </c>
      <c r="I108">
        <v>8.3407920010357996E-3</v>
      </c>
      <c r="J108">
        <v>190</v>
      </c>
      <c r="K108">
        <v>10</v>
      </c>
      <c r="L108">
        <v>21426511.751203801</v>
      </c>
      <c r="M108">
        <v>6.7466600012260004E-4</v>
      </c>
      <c r="N108">
        <v>400</v>
      </c>
      <c r="O108">
        <v>10</v>
      </c>
      <c r="P108">
        <v>24682744.249527302</v>
      </c>
      <c r="Q108">
        <v>0.16499945800023799</v>
      </c>
      <c r="R108">
        <f t="shared" si="3"/>
        <v>0.1761691610142041</v>
      </c>
      <c r="S108" s="1"/>
      <c r="T108">
        <f t="shared" si="2"/>
        <v>1</v>
      </c>
    </row>
    <row r="109" spans="1:20" x14ac:dyDescent="0.3">
      <c r="A109" t="s">
        <v>48</v>
      </c>
      <c r="B109" t="s">
        <v>73</v>
      </c>
      <c r="C109" t="s">
        <v>11</v>
      </c>
      <c r="D109" t="s">
        <v>77</v>
      </c>
      <c r="E109" s="2">
        <v>106</v>
      </c>
      <c r="F109">
        <v>1748</v>
      </c>
      <c r="G109">
        <v>10</v>
      </c>
      <c r="H109">
        <v>774.64378807948503</v>
      </c>
      <c r="I109">
        <v>7.4559589993441E-3</v>
      </c>
      <c r="J109">
        <v>2240</v>
      </c>
      <c r="K109">
        <v>5</v>
      </c>
      <c r="L109">
        <v>841.78181360803296</v>
      </c>
      <c r="M109">
        <v>5.1154579996364E-3</v>
      </c>
      <c r="N109">
        <v>400</v>
      </c>
      <c r="O109">
        <v>8</v>
      </c>
      <c r="P109">
        <v>794.85705125657</v>
      </c>
      <c r="Q109">
        <v>0.172138124999037</v>
      </c>
      <c r="R109" t="e">
        <f t="shared" si="3"/>
        <v>#N/A</v>
      </c>
      <c r="S109" s="1"/>
      <c r="T109">
        <f t="shared" si="2"/>
        <v>0</v>
      </c>
    </row>
    <row r="110" spans="1:20" x14ac:dyDescent="0.3">
      <c r="A110" t="s">
        <v>48</v>
      </c>
      <c r="B110" t="s">
        <v>73</v>
      </c>
      <c r="C110" t="s">
        <v>13</v>
      </c>
      <c r="D110" t="s">
        <v>77</v>
      </c>
      <c r="E110" s="2">
        <v>106</v>
      </c>
      <c r="F110">
        <v>1748</v>
      </c>
      <c r="G110">
        <v>10</v>
      </c>
      <c r="H110">
        <v>66276.420242691704</v>
      </c>
      <c r="I110">
        <v>1.14113330000691E-2</v>
      </c>
      <c r="J110">
        <v>193</v>
      </c>
      <c r="K110">
        <v>9</v>
      </c>
      <c r="L110">
        <v>67241.295391424501</v>
      </c>
      <c r="M110">
        <v>7.0312500065479997E-4</v>
      </c>
      <c r="N110">
        <v>400</v>
      </c>
      <c r="O110">
        <v>10</v>
      </c>
      <c r="P110">
        <v>89855.458408307895</v>
      </c>
      <c r="Q110">
        <v>0.14095133400041901</v>
      </c>
      <c r="R110">
        <f t="shared" si="3"/>
        <v>0.35576813109812233</v>
      </c>
      <c r="S110" s="1"/>
      <c r="T110">
        <f t="shared" si="2"/>
        <v>0</v>
      </c>
    </row>
    <row r="111" spans="1:20" x14ac:dyDescent="0.3">
      <c r="A111" t="s">
        <v>48</v>
      </c>
      <c r="B111" t="s">
        <v>73</v>
      </c>
      <c r="C111" t="s">
        <v>11</v>
      </c>
      <c r="D111" t="s">
        <v>78</v>
      </c>
      <c r="E111" s="2">
        <v>737</v>
      </c>
      <c r="F111">
        <v>254779</v>
      </c>
      <c r="G111">
        <v>10</v>
      </c>
      <c r="H111">
        <v>7671.1611359237604</v>
      </c>
      <c r="I111">
        <v>2.5524319169999199</v>
      </c>
      <c r="J111">
        <v>44319</v>
      </c>
      <c r="K111">
        <v>9</v>
      </c>
      <c r="L111">
        <v>7705.1575888161797</v>
      </c>
      <c r="M111">
        <v>0.100018709001233</v>
      </c>
      <c r="N111">
        <v>400</v>
      </c>
      <c r="O111">
        <v>22</v>
      </c>
      <c r="P111">
        <v>7513.1110637427801</v>
      </c>
      <c r="Q111">
        <v>2.65592745899994</v>
      </c>
      <c r="R111" t="e">
        <f t="shared" si="3"/>
        <v>#N/A</v>
      </c>
      <c r="S111" s="1"/>
      <c r="T111">
        <f t="shared" si="2"/>
        <v>0</v>
      </c>
    </row>
    <row r="112" spans="1:20" x14ac:dyDescent="0.3">
      <c r="A112" t="s">
        <v>48</v>
      </c>
      <c r="B112" t="s">
        <v>73</v>
      </c>
      <c r="C112" t="s">
        <v>13</v>
      </c>
      <c r="D112" t="s">
        <v>78</v>
      </c>
      <c r="E112" s="2">
        <v>737</v>
      </c>
      <c r="F112">
        <v>254779</v>
      </c>
      <c r="G112">
        <v>10</v>
      </c>
      <c r="H112">
        <v>2787610.2967467401</v>
      </c>
      <c r="I112">
        <v>2.6747141670002699</v>
      </c>
      <c r="J112">
        <v>1454</v>
      </c>
      <c r="K112">
        <v>28</v>
      </c>
      <c r="L112">
        <v>3434311.9051685701</v>
      </c>
      <c r="M112">
        <v>4.9132909989565996E-3</v>
      </c>
      <c r="N112">
        <v>400</v>
      </c>
      <c r="O112">
        <v>31</v>
      </c>
      <c r="P112">
        <v>3536258.4454641701</v>
      </c>
      <c r="Q112">
        <v>2.1281067499985502</v>
      </c>
      <c r="R112" t="e">
        <f t="shared" si="3"/>
        <v>#N/A</v>
      </c>
      <c r="S112" s="1"/>
      <c r="T112">
        <f t="shared" si="2"/>
        <v>0</v>
      </c>
    </row>
    <row r="113" spans="1:20" x14ac:dyDescent="0.3">
      <c r="A113" t="s">
        <v>48</v>
      </c>
      <c r="B113" t="s">
        <v>79</v>
      </c>
      <c r="C113" t="s">
        <v>11</v>
      </c>
      <c r="D113" t="s">
        <v>80</v>
      </c>
      <c r="E113" s="2">
        <v>180</v>
      </c>
      <c r="F113">
        <v>10813</v>
      </c>
      <c r="G113">
        <v>10</v>
      </c>
      <c r="H113">
        <v>1476.27561241121</v>
      </c>
      <c r="I113">
        <v>5.6387874999927499E-2</v>
      </c>
      <c r="J113">
        <v>5402</v>
      </c>
      <c r="K113">
        <v>7</v>
      </c>
      <c r="L113">
        <v>1553.7848638042999</v>
      </c>
      <c r="M113">
        <v>1.23395410009834E-2</v>
      </c>
      <c r="N113">
        <v>400</v>
      </c>
      <c r="O113">
        <v>16</v>
      </c>
      <c r="P113">
        <v>1418.9909539201501</v>
      </c>
      <c r="Q113">
        <v>0.43207233399880302</v>
      </c>
      <c r="R113" t="e">
        <f t="shared" si="3"/>
        <v>#N/A</v>
      </c>
      <c r="S113" s="1"/>
      <c r="T113">
        <f t="shared" si="2"/>
        <v>0</v>
      </c>
    </row>
    <row r="114" spans="1:20" x14ac:dyDescent="0.3">
      <c r="A114" t="s">
        <v>48</v>
      </c>
      <c r="B114" t="s">
        <v>79</v>
      </c>
      <c r="C114" t="s">
        <v>13</v>
      </c>
      <c r="D114" t="s">
        <v>80</v>
      </c>
      <c r="E114" s="2">
        <v>180</v>
      </c>
      <c r="F114">
        <v>10813</v>
      </c>
      <c r="G114">
        <v>10</v>
      </c>
      <c r="H114">
        <v>157151.94048456699</v>
      </c>
      <c r="I114">
        <v>6.3325166000140598E-2</v>
      </c>
      <c r="J114">
        <v>339</v>
      </c>
      <c r="K114">
        <v>18</v>
      </c>
      <c r="L114">
        <v>142804.583143436</v>
      </c>
      <c r="M114">
        <v>1.2338750002526999E-3</v>
      </c>
      <c r="N114">
        <v>400</v>
      </c>
      <c r="O114">
        <v>17</v>
      </c>
      <c r="P114">
        <v>175958.62411410999</v>
      </c>
      <c r="Q114">
        <v>0.43314124999960701</v>
      </c>
      <c r="R114" t="e">
        <f t="shared" si="3"/>
        <v>#N/A</v>
      </c>
      <c r="S114" s="1"/>
      <c r="T114">
        <f t="shared" si="2"/>
        <v>0</v>
      </c>
    </row>
    <row r="115" spans="1:20" x14ac:dyDescent="0.3">
      <c r="A115" t="s">
        <v>48</v>
      </c>
      <c r="B115" t="s">
        <v>79</v>
      </c>
      <c r="C115" t="s">
        <v>11</v>
      </c>
      <c r="D115" t="s">
        <v>81</v>
      </c>
      <c r="E115" s="2">
        <v>177</v>
      </c>
      <c r="F115">
        <v>10339</v>
      </c>
      <c r="G115">
        <v>10</v>
      </c>
      <c r="H115">
        <v>1553.17603289257</v>
      </c>
      <c r="I115">
        <v>5.5189332999361698E-2</v>
      </c>
      <c r="J115">
        <v>6475</v>
      </c>
      <c r="K115">
        <v>4</v>
      </c>
      <c r="L115">
        <v>1676.8045600518401</v>
      </c>
      <c r="M115">
        <v>1.4555916999597599E-2</v>
      </c>
      <c r="N115">
        <v>400</v>
      </c>
      <c r="O115">
        <v>10</v>
      </c>
      <c r="P115">
        <v>1570.4285128218801</v>
      </c>
      <c r="Q115">
        <v>0.38097362500047799</v>
      </c>
      <c r="R115">
        <f t="shared" si="3"/>
        <v>1.1107871589532442E-2</v>
      </c>
      <c r="S115" s="1"/>
      <c r="T115">
        <f t="shared" si="2"/>
        <v>0</v>
      </c>
    </row>
    <row r="116" spans="1:20" x14ac:dyDescent="0.3">
      <c r="A116" t="s">
        <v>48</v>
      </c>
      <c r="B116" t="s">
        <v>79</v>
      </c>
      <c r="C116" t="s">
        <v>13</v>
      </c>
      <c r="D116" t="s">
        <v>81</v>
      </c>
      <c r="E116" s="2">
        <v>177</v>
      </c>
      <c r="F116">
        <v>10339</v>
      </c>
      <c r="G116">
        <v>10</v>
      </c>
      <c r="H116">
        <v>775151.62264202302</v>
      </c>
      <c r="I116">
        <v>5.91149169995333E-2</v>
      </c>
      <c r="J116">
        <v>338</v>
      </c>
      <c r="K116">
        <v>13</v>
      </c>
      <c r="L116">
        <v>796464.18539917096</v>
      </c>
      <c r="M116">
        <v>1.1134159994980999E-3</v>
      </c>
      <c r="N116">
        <v>400</v>
      </c>
      <c r="O116">
        <v>14</v>
      </c>
      <c r="P116">
        <v>795897.75115152798</v>
      </c>
      <c r="Q116">
        <v>0.30141066699980001</v>
      </c>
      <c r="R116" t="e">
        <f t="shared" si="3"/>
        <v>#N/A</v>
      </c>
      <c r="S116" s="1"/>
      <c r="T116">
        <f t="shared" si="2"/>
        <v>0</v>
      </c>
    </row>
    <row r="117" spans="1:20" x14ac:dyDescent="0.3">
      <c r="A117" t="s">
        <v>48</v>
      </c>
      <c r="B117" t="s">
        <v>79</v>
      </c>
      <c r="C117" t="s">
        <v>11</v>
      </c>
      <c r="D117" t="s">
        <v>82</v>
      </c>
      <c r="E117" s="2">
        <v>122</v>
      </c>
      <c r="F117">
        <v>3244</v>
      </c>
      <c r="G117">
        <v>10</v>
      </c>
      <c r="H117">
        <v>989.08860591427504</v>
      </c>
      <c r="I117">
        <v>1.58440830000472E-2</v>
      </c>
      <c r="J117">
        <v>4256</v>
      </c>
      <c r="K117">
        <v>4</v>
      </c>
      <c r="L117">
        <v>1073.5211729928601</v>
      </c>
      <c r="M117">
        <v>9.7726250005507002E-3</v>
      </c>
      <c r="N117">
        <v>400</v>
      </c>
      <c r="O117">
        <v>7</v>
      </c>
      <c r="P117">
        <v>1012.71740909291</v>
      </c>
      <c r="Q117">
        <v>0.294031709001501</v>
      </c>
      <c r="R117" t="e">
        <f t="shared" si="3"/>
        <v>#N/A</v>
      </c>
      <c r="S117" s="1"/>
      <c r="T117">
        <f t="shared" si="2"/>
        <v>0</v>
      </c>
    </row>
    <row r="118" spans="1:20" x14ac:dyDescent="0.3">
      <c r="A118" t="s">
        <v>48</v>
      </c>
      <c r="B118" t="s">
        <v>79</v>
      </c>
      <c r="C118" t="s">
        <v>13</v>
      </c>
      <c r="D118" t="s">
        <v>82</v>
      </c>
      <c r="E118" s="2">
        <v>122</v>
      </c>
      <c r="F118">
        <v>3244</v>
      </c>
      <c r="G118">
        <v>10</v>
      </c>
      <c r="H118">
        <v>205473.98951876001</v>
      </c>
      <c r="I118">
        <v>1.60829589985951E-2</v>
      </c>
      <c r="J118">
        <v>225</v>
      </c>
      <c r="K118">
        <v>10</v>
      </c>
      <c r="L118">
        <v>207735.91215526499</v>
      </c>
      <c r="M118">
        <v>7.6537499990080005E-4</v>
      </c>
      <c r="N118">
        <v>400</v>
      </c>
      <c r="O118">
        <v>12</v>
      </c>
      <c r="P118">
        <v>227903.02318594101</v>
      </c>
      <c r="Q118">
        <v>0.26067970800067902</v>
      </c>
      <c r="R118" t="e">
        <f t="shared" si="3"/>
        <v>#N/A</v>
      </c>
      <c r="S118" s="1"/>
      <c r="T118">
        <f t="shared" si="2"/>
        <v>1</v>
      </c>
    </row>
    <row r="119" spans="1:20" x14ac:dyDescent="0.3">
      <c r="A119" t="s">
        <v>48</v>
      </c>
      <c r="B119" t="s">
        <v>79</v>
      </c>
      <c r="C119" t="s">
        <v>11</v>
      </c>
      <c r="D119" t="s">
        <v>83</v>
      </c>
      <c r="E119" s="2">
        <v>122</v>
      </c>
      <c r="F119">
        <v>3244</v>
      </c>
      <c r="G119">
        <v>10</v>
      </c>
      <c r="H119">
        <v>512.30950924021204</v>
      </c>
      <c r="I119">
        <v>1.6857707998497E-2</v>
      </c>
      <c r="J119">
        <v>2549</v>
      </c>
      <c r="K119">
        <v>7</v>
      </c>
      <c r="L119">
        <v>599.15468542375697</v>
      </c>
      <c r="M119">
        <v>5.9347919996071002E-3</v>
      </c>
      <c r="N119">
        <v>400</v>
      </c>
      <c r="O119">
        <v>10</v>
      </c>
      <c r="P119">
        <v>573.19248410796297</v>
      </c>
      <c r="Q119">
        <v>0.20866454099996101</v>
      </c>
      <c r="R119">
        <f t="shared" si="3"/>
        <v>0.11884022015918522</v>
      </c>
      <c r="S119" s="1"/>
      <c r="T119">
        <f t="shared" si="2"/>
        <v>0</v>
      </c>
    </row>
    <row r="120" spans="1:20" x14ac:dyDescent="0.3">
      <c r="A120" t="s">
        <v>48</v>
      </c>
      <c r="B120" t="s">
        <v>79</v>
      </c>
      <c r="C120" t="s">
        <v>13</v>
      </c>
      <c r="D120" t="s">
        <v>83</v>
      </c>
      <c r="E120" s="2">
        <v>122</v>
      </c>
      <c r="F120">
        <v>3244</v>
      </c>
      <c r="G120">
        <v>10</v>
      </c>
      <c r="H120">
        <v>5272.1118713323203</v>
      </c>
      <c r="I120">
        <v>1.6250332999334201E-2</v>
      </c>
      <c r="J120">
        <v>381</v>
      </c>
      <c r="K120">
        <v>12</v>
      </c>
      <c r="L120">
        <v>5159.1864858405897</v>
      </c>
      <c r="M120">
        <v>1.2358749991108E-3</v>
      </c>
      <c r="N120">
        <v>400</v>
      </c>
      <c r="O120">
        <v>11</v>
      </c>
      <c r="P120">
        <v>14069.922926065599</v>
      </c>
      <c r="Q120">
        <v>0.17613574999995699</v>
      </c>
      <c r="R120" t="e">
        <f t="shared" si="3"/>
        <v>#N/A</v>
      </c>
      <c r="S120" s="1"/>
      <c r="T120">
        <f t="shared" si="2"/>
        <v>0</v>
      </c>
    </row>
    <row r="121" spans="1:20" x14ac:dyDescent="0.3">
      <c r="A121" t="s">
        <v>48</v>
      </c>
      <c r="B121" t="s">
        <v>79</v>
      </c>
      <c r="C121" t="s">
        <v>11</v>
      </c>
      <c r="D121" t="s">
        <v>84</v>
      </c>
      <c r="E121" s="2">
        <v>701</v>
      </c>
      <c r="F121">
        <v>229633</v>
      </c>
      <c r="G121">
        <v>10</v>
      </c>
      <c r="H121">
        <v>5609.7369338859198</v>
      </c>
      <c r="I121">
        <v>2.2481368329990801</v>
      </c>
      <c r="J121">
        <v>18293</v>
      </c>
      <c r="K121">
        <v>28</v>
      </c>
      <c r="L121">
        <v>4685.8555701611704</v>
      </c>
      <c r="M121">
        <v>4.4194249998326898E-2</v>
      </c>
      <c r="N121">
        <v>400</v>
      </c>
      <c r="O121">
        <v>51</v>
      </c>
      <c r="P121">
        <v>4195.5930763914603</v>
      </c>
      <c r="Q121">
        <v>2.5108152920001801</v>
      </c>
      <c r="R121" t="e">
        <f t="shared" si="3"/>
        <v>#N/A</v>
      </c>
      <c r="S121" s="1"/>
      <c r="T121">
        <f t="shared" si="2"/>
        <v>0</v>
      </c>
    </row>
    <row r="122" spans="1:20" x14ac:dyDescent="0.3">
      <c r="A122" t="s">
        <v>48</v>
      </c>
      <c r="B122" t="s">
        <v>79</v>
      </c>
      <c r="C122" t="s">
        <v>13</v>
      </c>
      <c r="D122" t="s">
        <v>84</v>
      </c>
      <c r="E122" s="2">
        <v>701</v>
      </c>
      <c r="F122">
        <v>229633</v>
      </c>
      <c r="G122">
        <v>10</v>
      </c>
      <c r="H122">
        <v>356330.19618493301</v>
      </c>
      <c r="I122">
        <v>2.3879585409995299</v>
      </c>
      <c r="J122">
        <v>1440</v>
      </c>
      <c r="K122">
        <v>65</v>
      </c>
      <c r="L122">
        <v>148926.77253953399</v>
      </c>
      <c r="M122">
        <v>5.5850829994596998E-3</v>
      </c>
      <c r="N122">
        <v>400</v>
      </c>
      <c r="O122">
        <v>61</v>
      </c>
      <c r="P122">
        <v>161904.06919469</v>
      </c>
      <c r="Q122">
        <v>1.99164983300033</v>
      </c>
      <c r="R122" t="e">
        <f t="shared" si="3"/>
        <v>#N/A</v>
      </c>
      <c r="S122" s="1"/>
      <c r="T122">
        <f t="shared" si="2"/>
        <v>0</v>
      </c>
    </row>
    <row r="123" spans="1:20" x14ac:dyDescent="0.3">
      <c r="A123" t="s">
        <v>85</v>
      </c>
      <c r="B123" t="s">
        <v>55</v>
      </c>
      <c r="C123" t="s">
        <v>11</v>
      </c>
      <c r="D123" t="s">
        <v>86</v>
      </c>
      <c r="E123" s="2">
        <v>253</v>
      </c>
      <c r="F123">
        <v>25121</v>
      </c>
      <c r="G123">
        <v>10</v>
      </c>
      <c r="H123">
        <v>237.49599195056999</v>
      </c>
      <c r="I123">
        <v>0.170647667000594</v>
      </c>
      <c r="J123">
        <v>9120</v>
      </c>
      <c r="K123">
        <v>7</v>
      </c>
      <c r="L123">
        <v>341.68928982818898</v>
      </c>
      <c r="M123">
        <v>2.0753750000949301E-2</v>
      </c>
      <c r="N123">
        <v>400</v>
      </c>
      <c r="O123">
        <v>21</v>
      </c>
      <c r="P123">
        <v>122.851925663873</v>
      </c>
      <c r="Q123">
        <v>0.65055866600050605</v>
      </c>
      <c r="R123" t="e">
        <f t="shared" si="3"/>
        <v>#N/A</v>
      </c>
      <c r="S123" s="1"/>
      <c r="T123">
        <f t="shared" si="2"/>
        <v>0</v>
      </c>
    </row>
    <row r="124" spans="1:20" x14ac:dyDescent="0.3">
      <c r="A124" t="s">
        <v>85</v>
      </c>
      <c r="B124" t="s">
        <v>55</v>
      </c>
      <c r="C124" t="s">
        <v>13</v>
      </c>
      <c r="D124" t="s">
        <v>86</v>
      </c>
      <c r="E124" s="2">
        <v>253</v>
      </c>
      <c r="F124">
        <v>25121</v>
      </c>
      <c r="G124">
        <v>10</v>
      </c>
      <c r="H124">
        <v>121.354726755931</v>
      </c>
      <c r="I124">
        <v>0.16023991600013601</v>
      </c>
      <c r="J124">
        <v>6965</v>
      </c>
      <c r="K124">
        <v>5</v>
      </c>
      <c r="L124">
        <v>219.79655551245401</v>
      </c>
      <c r="M124">
        <v>1.9466374998955802E-2</v>
      </c>
      <c r="N124">
        <v>400</v>
      </c>
      <c r="O124">
        <v>14</v>
      </c>
      <c r="P124">
        <v>114.861941912517</v>
      </c>
      <c r="Q124">
        <v>0.55017324999971595</v>
      </c>
      <c r="R124" t="e">
        <f t="shared" si="3"/>
        <v>#N/A</v>
      </c>
      <c r="S124" s="1"/>
      <c r="T124">
        <f t="shared" si="2"/>
        <v>0</v>
      </c>
    </row>
    <row r="125" spans="1:20" x14ac:dyDescent="0.3">
      <c r="A125" t="s">
        <v>85</v>
      </c>
      <c r="B125" t="s">
        <v>55</v>
      </c>
      <c r="C125" t="s">
        <v>11</v>
      </c>
      <c r="D125" t="s">
        <v>87</v>
      </c>
      <c r="E125" s="2">
        <v>265</v>
      </c>
      <c r="F125">
        <v>27983</v>
      </c>
      <c r="G125">
        <v>10</v>
      </c>
      <c r="H125">
        <v>509.48857112803501</v>
      </c>
      <c r="I125">
        <v>0.19512833399858201</v>
      </c>
      <c r="J125">
        <v>9470</v>
      </c>
      <c r="K125">
        <v>8</v>
      </c>
      <c r="L125">
        <v>573.13358557472395</v>
      </c>
      <c r="M125">
        <v>2.15293750006821E-2</v>
      </c>
      <c r="N125">
        <v>400</v>
      </c>
      <c r="O125">
        <v>16</v>
      </c>
      <c r="P125">
        <v>379.66581982989601</v>
      </c>
      <c r="Q125">
        <v>0.752228833000117</v>
      </c>
      <c r="R125" t="e">
        <f t="shared" si="3"/>
        <v>#N/A</v>
      </c>
      <c r="S125" s="1"/>
      <c r="T125">
        <f t="shared" si="2"/>
        <v>0</v>
      </c>
    </row>
    <row r="126" spans="1:20" x14ac:dyDescent="0.3">
      <c r="A126" t="s">
        <v>85</v>
      </c>
      <c r="B126" t="s">
        <v>55</v>
      </c>
      <c r="C126" t="s">
        <v>13</v>
      </c>
      <c r="D126" t="s">
        <v>87</v>
      </c>
      <c r="E126" s="2">
        <v>265</v>
      </c>
      <c r="F126">
        <v>27983</v>
      </c>
      <c r="G126">
        <v>10</v>
      </c>
      <c r="H126">
        <v>311.89933779787998</v>
      </c>
      <c r="I126">
        <v>0.18206545800057899</v>
      </c>
      <c r="J126">
        <v>3463</v>
      </c>
      <c r="K126">
        <v>9</v>
      </c>
      <c r="L126">
        <v>348.12222852562297</v>
      </c>
      <c r="M126">
        <v>1.0191665998718199E-2</v>
      </c>
      <c r="N126">
        <v>400</v>
      </c>
      <c r="O126">
        <v>18</v>
      </c>
      <c r="P126">
        <v>258.17177124415502</v>
      </c>
      <c r="Q126">
        <v>0.59488224999950001</v>
      </c>
      <c r="R126" t="e">
        <f t="shared" si="3"/>
        <v>#N/A</v>
      </c>
      <c r="S126" s="1"/>
      <c r="T126">
        <f t="shared" si="2"/>
        <v>0</v>
      </c>
    </row>
    <row r="127" spans="1:20" x14ac:dyDescent="0.3">
      <c r="A127" t="s">
        <v>85</v>
      </c>
      <c r="B127" t="s">
        <v>55</v>
      </c>
      <c r="C127" t="s">
        <v>11</v>
      </c>
      <c r="D127" t="s">
        <v>88</v>
      </c>
      <c r="E127" s="2">
        <v>253</v>
      </c>
      <c r="F127">
        <v>25121</v>
      </c>
      <c r="G127">
        <v>10</v>
      </c>
      <c r="H127">
        <v>-718.84661716963603</v>
      </c>
      <c r="I127">
        <v>0.172151374999884</v>
      </c>
      <c r="J127">
        <v>6436</v>
      </c>
      <c r="K127">
        <v>7</v>
      </c>
      <c r="L127">
        <v>-651.70088755723998</v>
      </c>
      <c r="M127">
        <v>1.4588250000088E-2</v>
      </c>
      <c r="N127">
        <v>400</v>
      </c>
      <c r="O127">
        <v>19</v>
      </c>
      <c r="P127">
        <v>-829.23183815253003</v>
      </c>
      <c r="Q127">
        <v>0.63747762499951899</v>
      </c>
      <c r="R127" t="e">
        <f t="shared" si="3"/>
        <v>#N/A</v>
      </c>
      <c r="S127" s="1"/>
      <c r="T127">
        <f t="shared" si="2"/>
        <v>0</v>
      </c>
    </row>
    <row r="128" spans="1:20" x14ac:dyDescent="0.3">
      <c r="A128" t="s">
        <v>85</v>
      </c>
      <c r="B128" t="s">
        <v>55</v>
      </c>
      <c r="C128" t="s">
        <v>13</v>
      </c>
      <c r="D128" t="s">
        <v>88</v>
      </c>
      <c r="E128" s="2">
        <v>253</v>
      </c>
      <c r="F128">
        <v>25121</v>
      </c>
      <c r="G128">
        <v>10</v>
      </c>
      <c r="H128">
        <v>2.4719298978798498</v>
      </c>
      <c r="I128">
        <v>0.16022316599992301</v>
      </c>
      <c r="J128">
        <v>12083</v>
      </c>
      <c r="K128">
        <v>1</v>
      </c>
      <c r="L128">
        <v>30.491295109388201</v>
      </c>
      <c r="M128">
        <v>3.3515582999825697E-2</v>
      </c>
      <c r="N128">
        <v>400</v>
      </c>
      <c r="O128">
        <v>2</v>
      </c>
      <c r="P128">
        <v>8.3936601939250099</v>
      </c>
      <c r="Q128">
        <v>0.25808033300017902</v>
      </c>
      <c r="R128" t="e">
        <f t="shared" si="3"/>
        <v>#N/A</v>
      </c>
      <c r="S128" s="1"/>
      <c r="T128">
        <f t="shared" si="2"/>
        <v>0</v>
      </c>
    </row>
    <row r="129" spans="1:20" x14ac:dyDescent="0.3">
      <c r="A129" t="s">
        <v>85</v>
      </c>
      <c r="B129" t="s">
        <v>55</v>
      </c>
      <c r="C129" t="s">
        <v>11</v>
      </c>
      <c r="D129" t="s">
        <v>89</v>
      </c>
      <c r="E129" s="2">
        <v>253</v>
      </c>
      <c r="F129">
        <v>25121</v>
      </c>
      <c r="G129">
        <v>10</v>
      </c>
      <c r="H129">
        <v>-554.27495568354902</v>
      </c>
      <c r="I129">
        <v>0.174678499999572</v>
      </c>
      <c r="J129">
        <v>8079</v>
      </c>
      <c r="K129">
        <v>6</v>
      </c>
      <c r="L129">
        <v>-417.95573293753</v>
      </c>
      <c r="M129">
        <v>1.8568082999990999E-2</v>
      </c>
      <c r="N129">
        <v>400</v>
      </c>
      <c r="O129">
        <v>19</v>
      </c>
      <c r="P129">
        <v>-649.95310368268895</v>
      </c>
      <c r="Q129">
        <v>0.62740616699920704</v>
      </c>
      <c r="R129" t="e">
        <f t="shared" si="3"/>
        <v>#N/A</v>
      </c>
      <c r="S129" s="1"/>
      <c r="T129">
        <f t="shared" si="2"/>
        <v>0</v>
      </c>
    </row>
    <row r="130" spans="1:20" x14ac:dyDescent="0.3">
      <c r="A130" t="s">
        <v>85</v>
      </c>
      <c r="B130" t="s">
        <v>55</v>
      </c>
      <c r="C130" t="s">
        <v>13</v>
      </c>
      <c r="D130" t="s">
        <v>89</v>
      </c>
      <c r="E130" s="2">
        <v>253</v>
      </c>
      <c r="F130">
        <v>25121</v>
      </c>
      <c r="G130">
        <v>10</v>
      </c>
      <c r="H130">
        <v>4.7405541244372698</v>
      </c>
      <c r="I130">
        <v>0.16037424999922201</v>
      </c>
      <c r="J130">
        <v>12846</v>
      </c>
      <c r="K130">
        <v>1</v>
      </c>
      <c r="L130">
        <v>39.678878832725097</v>
      </c>
      <c r="M130">
        <v>3.5732791999180301E-2</v>
      </c>
      <c r="N130">
        <v>400</v>
      </c>
      <c r="O130">
        <v>2</v>
      </c>
      <c r="P130">
        <v>17.721135138708998</v>
      </c>
      <c r="Q130">
        <v>0.25073212499955799</v>
      </c>
      <c r="R130" t="e">
        <f t="shared" si="3"/>
        <v>#N/A</v>
      </c>
      <c r="S130" s="1"/>
      <c r="T130">
        <f t="shared" si="2"/>
        <v>0</v>
      </c>
    </row>
    <row r="131" spans="1:20" x14ac:dyDescent="0.3">
      <c r="A131" t="s">
        <v>85</v>
      </c>
      <c r="B131" t="s">
        <v>55</v>
      </c>
      <c r="C131" t="s">
        <v>11</v>
      </c>
      <c r="D131" t="s">
        <v>90</v>
      </c>
      <c r="E131" s="2">
        <v>253</v>
      </c>
      <c r="F131">
        <v>25121</v>
      </c>
      <c r="G131">
        <v>10</v>
      </c>
      <c r="H131">
        <v>-426.17317138350597</v>
      </c>
      <c r="I131">
        <v>0.17450983299931899</v>
      </c>
      <c r="J131">
        <v>11039</v>
      </c>
      <c r="K131">
        <v>5</v>
      </c>
      <c r="L131">
        <v>-271.06305628852903</v>
      </c>
      <c r="M131">
        <v>2.51189999999041E-2</v>
      </c>
      <c r="N131">
        <v>400</v>
      </c>
      <c r="O131">
        <v>14</v>
      </c>
      <c r="P131">
        <v>-492.02303819033398</v>
      </c>
      <c r="Q131">
        <v>0.69338333300038302</v>
      </c>
      <c r="R131" t="e">
        <f t="shared" si="3"/>
        <v>#N/A</v>
      </c>
      <c r="S131" s="1"/>
      <c r="T131">
        <f t="shared" ref="T131:T142" si="4">IF(G131=K131,1,0)</f>
        <v>0</v>
      </c>
    </row>
    <row r="132" spans="1:20" x14ac:dyDescent="0.3">
      <c r="A132" t="s">
        <v>85</v>
      </c>
      <c r="B132" t="s">
        <v>55</v>
      </c>
      <c r="C132" t="s">
        <v>13</v>
      </c>
      <c r="D132" t="s">
        <v>90</v>
      </c>
      <c r="E132" s="2">
        <v>253</v>
      </c>
      <c r="F132">
        <v>25121</v>
      </c>
      <c r="G132">
        <v>10</v>
      </c>
      <c r="H132">
        <v>8.0312346966949395</v>
      </c>
      <c r="I132">
        <v>0.16129962500053799</v>
      </c>
      <c r="J132">
        <v>9593</v>
      </c>
      <c r="K132">
        <v>1</v>
      </c>
      <c r="L132">
        <v>30.280959154573001</v>
      </c>
      <c r="M132">
        <v>2.66458749993034E-2</v>
      </c>
      <c r="N132">
        <v>400</v>
      </c>
      <c r="O132">
        <v>3</v>
      </c>
      <c r="P132">
        <v>21.600494620328099</v>
      </c>
      <c r="Q132">
        <v>0.31139179199999401</v>
      </c>
      <c r="R132" t="e">
        <f t="shared" ref="R132:R142" si="5">IF(O132=G132,(P132-H132)/H132,NA())</f>
        <v>#N/A</v>
      </c>
      <c r="S132" s="1"/>
      <c r="T132">
        <f t="shared" si="4"/>
        <v>0</v>
      </c>
    </row>
    <row r="133" spans="1:20" x14ac:dyDescent="0.3">
      <c r="A133" t="s">
        <v>85</v>
      </c>
      <c r="B133" t="s">
        <v>55</v>
      </c>
      <c r="C133" t="s">
        <v>11</v>
      </c>
      <c r="D133" t="s">
        <v>91</v>
      </c>
      <c r="E133" s="2">
        <v>265</v>
      </c>
      <c r="F133">
        <v>27983</v>
      </c>
      <c r="G133">
        <v>10</v>
      </c>
      <c r="H133">
        <v>-411.60512030099397</v>
      </c>
      <c r="I133">
        <v>0.165206667001257</v>
      </c>
      <c r="J133">
        <v>8620</v>
      </c>
      <c r="K133">
        <v>8</v>
      </c>
      <c r="L133">
        <v>-345.298861218497</v>
      </c>
      <c r="M133">
        <v>1.9437958999333201E-2</v>
      </c>
      <c r="N133">
        <v>400</v>
      </c>
      <c r="O133">
        <v>17</v>
      </c>
      <c r="P133">
        <v>-528.201260866349</v>
      </c>
      <c r="Q133">
        <v>0.72986416599996995</v>
      </c>
      <c r="R133" t="e">
        <f t="shared" si="5"/>
        <v>#N/A</v>
      </c>
      <c r="S133" s="1"/>
      <c r="T133">
        <f t="shared" si="4"/>
        <v>0</v>
      </c>
    </row>
    <row r="134" spans="1:20" x14ac:dyDescent="0.3">
      <c r="A134" t="s">
        <v>85</v>
      </c>
      <c r="B134" t="s">
        <v>55</v>
      </c>
      <c r="C134" t="s">
        <v>13</v>
      </c>
      <c r="D134" t="s">
        <v>91</v>
      </c>
      <c r="E134" s="2">
        <v>265</v>
      </c>
      <c r="F134">
        <v>27983</v>
      </c>
      <c r="G134">
        <v>10</v>
      </c>
      <c r="H134">
        <v>9.5433988660414997</v>
      </c>
      <c r="I134">
        <v>0.180053999998563</v>
      </c>
      <c r="J134">
        <v>4007</v>
      </c>
      <c r="K134">
        <v>1</v>
      </c>
      <c r="L134">
        <v>25.334869153359701</v>
      </c>
      <c r="M134">
        <v>1.12719589997141E-2</v>
      </c>
      <c r="N134">
        <v>400</v>
      </c>
      <c r="O134">
        <v>2</v>
      </c>
      <c r="P134">
        <v>18.654892443572599</v>
      </c>
      <c r="Q134">
        <v>0.26350783400084699</v>
      </c>
      <c r="R134" t="e">
        <f t="shared" si="5"/>
        <v>#N/A</v>
      </c>
      <c r="S134" s="1"/>
      <c r="T134">
        <f t="shared" si="4"/>
        <v>0</v>
      </c>
    </row>
    <row r="135" spans="1:20" x14ac:dyDescent="0.3">
      <c r="A135" t="s">
        <v>85</v>
      </c>
      <c r="B135" t="s">
        <v>55</v>
      </c>
      <c r="C135" t="s">
        <v>11</v>
      </c>
      <c r="D135" t="s">
        <v>92</v>
      </c>
      <c r="E135" s="2">
        <v>253</v>
      </c>
      <c r="F135">
        <v>25121</v>
      </c>
      <c r="G135">
        <v>10</v>
      </c>
      <c r="H135">
        <v>94.308233664354603</v>
      </c>
      <c r="I135">
        <v>0.14541579199976601</v>
      </c>
      <c r="J135">
        <v>8882</v>
      </c>
      <c r="K135">
        <v>6</v>
      </c>
      <c r="L135">
        <v>213.33504255518099</v>
      </c>
      <c r="M135">
        <v>2.0515917000011499E-2</v>
      </c>
      <c r="N135">
        <v>400</v>
      </c>
      <c r="O135">
        <v>16</v>
      </c>
      <c r="P135">
        <v>27.336195059970301</v>
      </c>
      <c r="Q135">
        <v>0.72280020800098999</v>
      </c>
      <c r="R135" t="e">
        <f t="shared" si="5"/>
        <v>#N/A</v>
      </c>
      <c r="S135" s="1"/>
      <c r="T135">
        <f t="shared" si="4"/>
        <v>0</v>
      </c>
    </row>
    <row r="136" spans="1:20" x14ac:dyDescent="0.3">
      <c r="A136" t="s">
        <v>85</v>
      </c>
      <c r="B136" t="s">
        <v>55</v>
      </c>
      <c r="C136" t="s">
        <v>13</v>
      </c>
      <c r="D136" t="s">
        <v>92</v>
      </c>
      <c r="E136" s="2">
        <v>253</v>
      </c>
      <c r="F136">
        <v>25121</v>
      </c>
      <c r="G136">
        <v>10</v>
      </c>
      <c r="H136">
        <v>62.326287284932498</v>
      </c>
      <c r="I136">
        <v>0.18658862499978501</v>
      </c>
      <c r="J136">
        <v>7479</v>
      </c>
      <c r="K136">
        <v>3</v>
      </c>
      <c r="L136">
        <v>112.787264074261</v>
      </c>
      <c r="M136">
        <v>2.0989165999708299E-2</v>
      </c>
      <c r="N136">
        <v>400</v>
      </c>
      <c r="O136">
        <v>8</v>
      </c>
      <c r="P136">
        <v>83.339749435841</v>
      </c>
      <c r="Q136">
        <v>0.41209662500114003</v>
      </c>
      <c r="R136" t="e">
        <f t="shared" si="5"/>
        <v>#N/A</v>
      </c>
      <c r="S136" s="1"/>
      <c r="T136">
        <f t="shared" si="4"/>
        <v>0</v>
      </c>
    </row>
    <row r="137" spans="1:20" x14ac:dyDescent="0.3">
      <c r="A137" t="s">
        <v>85</v>
      </c>
      <c r="B137" t="s">
        <v>55</v>
      </c>
      <c r="C137" t="s">
        <v>11</v>
      </c>
      <c r="D137" t="s">
        <v>93</v>
      </c>
      <c r="E137" s="2">
        <v>253</v>
      </c>
      <c r="F137">
        <v>25121</v>
      </c>
      <c r="G137">
        <v>10</v>
      </c>
      <c r="H137">
        <v>121.345629111354</v>
      </c>
      <c r="I137">
        <v>0.148017874998913</v>
      </c>
      <c r="J137">
        <v>8684</v>
      </c>
      <c r="K137">
        <v>6</v>
      </c>
      <c r="L137">
        <v>238.995337271127</v>
      </c>
      <c r="M137">
        <v>1.9552291998479601E-2</v>
      </c>
      <c r="N137">
        <v>400</v>
      </c>
      <c r="O137">
        <v>16</v>
      </c>
      <c r="P137">
        <v>67.075420467215096</v>
      </c>
      <c r="Q137">
        <v>0.634146458000032</v>
      </c>
      <c r="R137" t="e">
        <f t="shared" si="5"/>
        <v>#N/A</v>
      </c>
      <c r="S137" s="1"/>
      <c r="T137">
        <f t="shared" si="4"/>
        <v>0</v>
      </c>
    </row>
    <row r="138" spans="1:20" x14ac:dyDescent="0.3">
      <c r="A138" t="s">
        <v>85</v>
      </c>
      <c r="B138" t="s">
        <v>55</v>
      </c>
      <c r="C138" t="s">
        <v>13</v>
      </c>
      <c r="D138" t="s">
        <v>93</v>
      </c>
      <c r="E138" s="2">
        <v>253</v>
      </c>
      <c r="F138">
        <v>25121</v>
      </c>
      <c r="G138">
        <v>10</v>
      </c>
      <c r="H138">
        <v>71.682617412609503</v>
      </c>
      <c r="I138">
        <v>0.18864387500070701</v>
      </c>
      <c r="J138">
        <v>6122</v>
      </c>
      <c r="K138">
        <v>3</v>
      </c>
      <c r="L138">
        <v>144.835718088768</v>
      </c>
      <c r="M138">
        <v>1.70720419991994E-2</v>
      </c>
      <c r="N138">
        <v>400</v>
      </c>
      <c r="O138">
        <v>10</v>
      </c>
      <c r="P138">
        <v>81.342953369228098</v>
      </c>
      <c r="Q138">
        <v>0.490335667000181</v>
      </c>
      <c r="R138">
        <f t="shared" si="5"/>
        <v>0.13476539090381026</v>
      </c>
      <c r="S138" s="1"/>
      <c r="T138">
        <f t="shared" si="4"/>
        <v>0</v>
      </c>
    </row>
    <row r="139" spans="1:20" x14ac:dyDescent="0.3">
      <c r="A139" t="s">
        <v>85</v>
      </c>
      <c r="B139" t="s">
        <v>55</v>
      </c>
      <c r="C139" t="s">
        <v>11</v>
      </c>
      <c r="D139" t="s">
        <v>94</v>
      </c>
      <c r="E139" s="2">
        <v>253</v>
      </c>
      <c r="F139">
        <v>25121</v>
      </c>
      <c r="G139">
        <v>10</v>
      </c>
      <c r="H139">
        <v>-487.78510779767998</v>
      </c>
      <c r="I139">
        <v>0.14737466599945001</v>
      </c>
      <c r="J139">
        <v>10260</v>
      </c>
      <c r="K139">
        <v>7</v>
      </c>
      <c r="L139">
        <v>-390.94840042505098</v>
      </c>
      <c r="M139">
        <v>2.3884457999884E-2</v>
      </c>
      <c r="N139">
        <v>400</v>
      </c>
      <c r="O139">
        <v>21</v>
      </c>
      <c r="P139">
        <v>-677.50276723169895</v>
      </c>
      <c r="Q139">
        <v>0.70973420800146403</v>
      </c>
      <c r="R139" t="e">
        <f t="shared" si="5"/>
        <v>#N/A</v>
      </c>
      <c r="S139" s="1"/>
      <c r="T139">
        <f t="shared" si="4"/>
        <v>0</v>
      </c>
    </row>
    <row r="140" spans="1:20" x14ac:dyDescent="0.3">
      <c r="A140" t="s">
        <v>85</v>
      </c>
      <c r="B140" t="s">
        <v>55</v>
      </c>
      <c r="C140" t="s">
        <v>13</v>
      </c>
      <c r="D140" t="s">
        <v>94</v>
      </c>
      <c r="E140" s="2">
        <v>253</v>
      </c>
      <c r="F140">
        <v>25121</v>
      </c>
      <c r="G140">
        <v>10</v>
      </c>
      <c r="H140">
        <v>6.5739036160314201</v>
      </c>
      <c r="I140">
        <v>0.194913082999846</v>
      </c>
      <c r="J140">
        <v>3327</v>
      </c>
      <c r="K140">
        <v>1</v>
      </c>
      <c r="L140">
        <v>26.018723394823201</v>
      </c>
      <c r="M140">
        <v>9.6661669995227999E-3</v>
      </c>
      <c r="N140">
        <v>400</v>
      </c>
      <c r="O140">
        <v>2</v>
      </c>
      <c r="P140">
        <v>13.6800740177236</v>
      </c>
      <c r="Q140">
        <v>0.249736582998593</v>
      </c>
      <c r="R140" t="e">
        <f t="shared" si="5"/>
        <v>#N/A</v>
      </c>
      <c r="S140" s="1"/>
      <c r="T140">
        <f t="shared" si="4"/>
        <v>0</v>
      </c>
    </row>
    <row r="141" spans="1:20" x14ac:dyDescent="0.3">
      <c r="A141" t="s">
        <v>85</v>
      </c>
      <c r="B141" t="s">
        <v>55</v>
      </c>
      <c r="C141" t="s">
        <v>11</v>
      </c>
      <c r="D141" t="s">
        <v>95</v>
      </c>
      <c r="E141" s="2">
        <v>265</v>
      </c>
      <c r="F141">
        <v>27983</v>
      </c>
      <c r="G141">
        <v>10</v>
      </c>
      <c r="H141">
        <v>-313.549685215029</v>
      </c>
      <c r="I141">
        <v>0.166779125000175</v>
      </c>
      <c r="J141">
        <v>11746</v>
      </c>
      <c r="K141">
        <v>6</v>
      </c>
      <c r="L141">
        <v>-184.12480472781601</v>
      </c>
      <c r="M141">
        <v>2.7209457999560899E-2</v>
      </c>
      <c r="N141">
        <v>400</v>
      </c>
      <c r="O141">
        <v>17</v>
      </c>
      <c r="P141">
        <v>-411.42965717254202</v>
      </c>
      <c r="Q141">
        <v>0.766839583000546</v>
      </c>
      <c r="R141" t="e">
        <f t="shared" si="5"/>
        <v>#N/A</v>
      </c>
      <c r="S141" s="1"/>
      <c r="T141">
        <f t="shared" si="4"/>
        <v>0</v>
      </c>
    </row>
    <row r="142" spans="1:20" x14ac:dyDescent="0.3">
      <c r="A142" t="s">
        <v>85</v>
      </c>
      <c r="B142" t="s">
        <v>55</v>
      </c>
      <c r="C142" t="s">
        <v>13</v>
      </c>
      <c r="D142" t="s">
        <v>95</v>
      </c>
      <c r="E142" s="2">
        <v>265</v>
      </c>
      <c r="F142">
        <v>27983</v>
      </c>
      <c r="G142">
        <v>10</v>
      </c>
      <c r="H142">
        <v>19.534430142328102</v>
      </c>
      <c r="I142">
        <v>0.210806999999476</v>
      </c>
      <c r="J142">
        <v>13032</v>
      </c>
      <c r="K142">
        <v>1</v>
      </c>
      <c r="L142">
        <v>74.6559092974923</v>
      </c>
      <c r="M142">
        <v>3.6159708999548401E-2</v>
      </c>
      <c r="N142">
        <v>400</v>
      </c>
      <c r="O142">
        <v>3</v>
      </c>
      <c r="P142">
        <v>29.327707967740501</v>
      </c>
      <c r="Q142">
        <v>0.39077204200111698</v>
      </c>
      <c r="R142" t="e">
        <f t="shared" si="5"/>
        <v>#N/A</v>
      </c>
      <c r="S142" s="1"/>
      <c r="T142">
        <f t="shared" si="4"/>
        <v>0</v>
      </c>
    </row>
  </sheetData>
  <conditionalFormatting sqref="T3:T142">
    <cfRule type="cellIs" dxfId="0" priority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2026-03-13T07:57:58Z</dcterms:created>
  <dcterms:modified xsi:type="dcterms:W3CDTF">2026-03-13T13:01:59Z</dcterms:modified>
</cp:coreProperties>
</file>