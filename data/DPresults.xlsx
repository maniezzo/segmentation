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segmentation\data\"/>
    </mc:Choice>
  </mc:AlternateContent>
  <xr:revisionPtr revIDLastSave="0" documentId="13_ncr:1_{8558F32C-C84E-478D-A5B7-BB72B67B454E}" xr6:coauthVersionLast="47" xr6:coauthVersionMax="47" xr10:uidLastSave="{00000000-0000-0000-0000-000000000000}"/>
  <bookViews>
    <workbookView xWindow="768" yWindow="768" windowWidth="21792" windowHeight="12888" xr2:uid="{7E3558C8-CB49-46FB-8C25-B70FF8305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19" i="1" l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81" i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43" i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41" i="1"/>
  <c r="A39" i="1"/>
  <c r="A37" i="1"/>
  <c r="A35" i="1"/>
  <c r="A33" i="1"/>
  <c r="A31" i="1"/>
  <c r="A29" i="1"/>
  <c r="A27" i="1"/>
  <c r="A25" i="1"/>
  <c r="A23" i="1"/>
  <c r="A21" i="1"/>
  <c r="A19" i="1"/>
  <c r="A17" i="1"/>
  <c r="A15" i="1"/>
  <c r="A13" i="1"/>
  <c r="A11" i="1"/>
  <c r="A9" i="1"/>
  <c r="A7" i="1"/>
  <c r="A5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3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</calcChain>
</file>

<file path=xl/sharedStrings.xml><?xml version="1.0" encoding="utf-8"?>
<sst xmlns="http://schemas.openxmlformats.org/spreadsheetml/2006/main" count="586" uniqueCount="102">
  <si>
    <t>benchmark</t>
  </si>
  <si>
    <t>category</t>
  </si>
  <si>
    <t>cost</t>
  </si>
  <si>
    <t>series_id</t>
  </si>
  <si>
    <t>npoints</t>
  </si>
  <si>
    <t>nruns</t>
  </si>
  <si>
    <t>nsegm</t>
  </si>
  <si>
    <t>total_cost</t>
  </si>
  <si>
    <t>time_sec</t>
  </si>
  <si>
    <t>M3</t>
  </si>
  <si>
    <t xml:space="preserve">DEMOGRAPHIC </t>
  </si>
  <si>
    <t>AIC</t>
  </si>
  <si>
    <t>N2745</t>
  </si>
  <si>
    <t>QRMSE</t>
  </si>
  <si>
    <t>N2677</t>
  </si>
  <si>
    <t>N2671</t>
  </si>
  <si>
    <t>N2751</t>
  </si>
  <si>
    <t>N2774</t>
  </si>
  <si>
    <t xml:space="preserve">FINANCE     </t>
  </si>
  <si>
    <t>N2852</t>
  </si>
  <si>
    <t>N2564</t>
  </si>
  <si>
    <t>N2613</t>
  </si>
  <si>
    <t>N2582</t>
  </si>
  <si>
    <t>N2602</t>
  </si>
  <si>
    <t xml:space="preserve">INDUSTRY    </t>
  </si>
  <si>
    <t>N1901</t>
  </si>
  <si>
    <t>N2186</t>
  </si>
  <si>
    <t>N1950</t>
  </si>
  <si>
    <t>N2072</t>
  </si>
  <si>
    <t>N1907</t>
  </si>
  <si>
    <t xml:space="preserve">MACRO       </t>
  </si>
  <si>
    <t>N2501</t>
  </si>
  <si>
    <t>N2219</t>
  </si>
  <si>
    <t>N2267</t>
  </si>
  <si>
    <t>N2270</t>
  </si>
  <si>
    <t>N2478</t>
  </si>
  <si>
    <t xml:space="preserve">MICRO       </t>
  </si>
  <si>
    <t>N1871</t>
  </si>
  <si>
    <t>N1435</t>
  </si>
  <si>
    <t>N1533</t>
  </si>
  <si>
    <t>N1474</t>
  </si>
  <si>
    <t>N1819</t>
  </si>
  <si>
    <t xml:space="preserve">OTHER       </t>
  </si>
  <si>
    <t>N2824</t>
  </si>
  <si>
    <t>N2948</t>
  </si>
  <si>
    <t>N2888</t>
  </si>
  <si>
    <t>N2955</t>
  </si>
  <si>
    <t>N2783</t>
  </si>
  <si>
    <t>M4</t>
  </si>
  <si>
    <t>Demographic</t>
  </si>
  <si>
    <t>Q11846</t>
  </si>
  <si>
    <t>Q11974</t>
  </si>
  <si>
    <t>Q12170</t>
  </si>
  <si>
    <t>Q12673</t>
  </si>
  <si>
    <t>Q13050</t>
  </si>
  <si>
    <t>Finance</t>
  </si>
  <si>
    <t>Q18638</t>
  </si>
  <si>
    <t>Q20501</t>
  </si>
  <si>
    <t>Q19518</t>
  </si>
  <si>
    <t>Q18530</t>
  </si>
  <si>
    <t>Q22221</t>
  </si>
  <si>
    <t>Industry</t>
  </si>
  <si>
    <t>Q15208</t>
  </si>
  <si>
    <t>Q16120</t>
  </si>
  <si>
    <t>Q16176</t>
  </si>
  <si>
    <t>Q14989</t>
  </si>
  <si>
    <t>Q15697</t>
  </si>
  <si>
    <t>Macro</t>
  </si>
  <si>
    <t>Q1988</t>
  </si>
  <si>
    <t>Q3770</t>
  </si>
  <si>
    <t>Q4038</t>
  </si>
  <si>
    <t>Q3957</t>
  </si>
  <si>
    <t>Q5109</t>
  </si>
  <si>
    <t>Micro</t>
  </si>
  <si>
    <t>Q11298</t>
  </si>
  <si>
    <t>Q9597</t>
  </si>
  <si>
    <t>Q9516</t>
  </si>
  <si>
    <t>Q9551</t>
  </si>
  <si>
    <t>Q10414</t>
  </si>
  <si>
    <t>Other</t>
  </si>
  <si>
    <t>Q23416</t>
  </si>
  <si>
    <t>Q23410</t>
  </si>
  <si>
    <t>Q23524</t>
  </si>
  <si>
    <t>Q23487</t>
  </si>
  <si>
    <t>Q23661</t>
  </si>
  <si>
    <t>M6</t>
  </si>
  <si>
    <t>ABBV</t>
  </si>
  <si>
    <t>COP</t>
  </si>
  <si>
    <t>EWG</t>
  </si>
  <si>
    <t>EWQ</t>
  </si>
  <si>
    <t>EWZ</t>
  </si>
  <si>
    <t>HST</t>
  </si>
  <si>
    <t>PYPL</t>
  </si>
  <si>
    <t>ROST</t>
  </si>
  <si>
    <t>SLV</t>
  </si>
  <si>
    <t>VXX</t>
  </si>
  <si>
    <t>Dynp</t>
  </si>
  <si>
    <t>PELT</t>
  </si>
  <si>
    <t>WBS</t>
  </si>
  <si>
    <t>Dynp/PELT</t>
  </si>
  <si>
    <t>gap dynp</t>
  </si>
  <si>
    <t>TSPP/Dynp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</si>
</sst>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F3FC8-390D-4018-9A07-1C7FE899F7FD}">
  <dimension ref="A1:W142"/>
  <sheetViews>
    <sheetView tabSelected="1" topLeftCell="F76" workbookViewId="0">
      <selection activeCell="W96" sqref="W96"/>
    </sheetView>
  </sheetViews>
  <sheetFormatPr defaultRowHeight="14.4" x14ac:dyDescent="0.3"/>
  <cols>
    <col min="6" max="6" width="9.109375" style="2"/>
    <col min="7" max="7" width="9.109375" style="1"/>
    <col min="11" max="11" width="9.109375" style="1"/>
    <col min="20" max="20" width="8.88671875" style="3"/>
    <col min="21" max="21" width="8.88671875" style="1"/>
  </cols>
  <sheetData>
    <row r="1" spans="1:23" x14ac:dyDescent="0.3">
      <c r="G1" s="1" t="s">
        <v>96</v>
      </c>
      <c r="H1" s="2"/>
      <c r="K1" s="1" t="s">
        <v>97</v>
      </c>
      <c r="O1" s="1" t="s">
        <v>98</v>
      </c>
      <c r="T1" s="3" t="s">
        <v>99</v>
      </c>
      <c r="U1" s="1" t="s">
        <v>101</v>
      </c>
    </row>
    <row r="2" spans="1:23" x14ac:dyDescent="0.3">
      <c r="B2" t="s">
        <v>0</v>
      </c>
      <c r="C2" t="s">
        <v>1</v>
      </c>
      <c r="D2" t="s">
        <v>2</v>
      </c>
      <c r="E2" t="s">
        <v>3</v>
      </c>
      <c r="F2" s="2" t="s">
        <v>4</v>
      </c>
      <c r="G2" s="1" t="s">
        <v>5</v>
      </c>
      <c r="H2" t="s">
        <v>6</v>
      </c>
      <c r="I2" t="s">
        <v>7</v>
      </c>
      <c r="J2" t="s">
        <v>8</v>
      </c>
      <c r="K2" t="s">
        <v>5</v>
      </c>
      <c r="L2" t="s">
        <v>6</v>
      </c>
      <c r="M2" t="s">
        <v>7</v>
      </c>
      <c r="N2" t="s">
        <v>8</v>
      </c>
      <c r="O2" t="s">
        <v>5</v>
      </c>
      <c r="P2" t="s">
        <v>6</v>
      </c>
      <c r="Q2" t="s">
        <v>7</v>
      </c>
      <c r="R2" t="s">
        <v>8</v>
      </c>
      <c r="S2" t="s">
        <v>100</v>
      </c>
      <c r="U2" t="s">
        <v>6</v>
      </c>
      <c r="V2" t="s">
        <v>7</v>
      </c>
      <c r="W2" t="s">
        <v>8</v>
      </c>
    </row>
    <row r="3" spans="1:23" x14ac:dyDescent="0.3">
      <c r="A3">
        <v>1</v>
      </c>
      <c r="B3" t="s">
        <v>9</v>
      </c>
      <c r="C3" t="s">
        <v>10</v>
      </c>
      <c r="D3" t="s">
        <v>11</v>
      </c>
      <c r="E3" t="s">
        <v>12</v>
      </c>
      <c r="F3" s="2">
        <v>134</v>
      </c>
      <c r="G3">
        <v>4534</v>
      </c>
      <c r="H3">
        <v>10</v>
      </c>
      <c r="I3">
        <v>1501.1341522299799</v>
      </c>
      <c r="J3">
        <v>2.25291249989822E-2</v>
      </c>
      <c r="K3">
        <v>4485</v>
      </c>
      <c r="L3">
        <v>3</v>
      </c>
      <c r="M3">
        <v>1649.31752903027</v>
      </c>
      <c r="N3">
        <v>9.8461659981694E-3</v>
      </c>
      <c r="O3">
        <v>400</v>
      </c>
      <c r="P3">
        <v>10</v>
      </c>
      <c r="Q3">
        <v>1528.0567619999999</v>
      </c>
      <c r="R3">
        <v>0.27163416699999998</v>
      </c>
      <c r="S3">
        <f>IF(P3=H3,(Q3-I3)/I3,NA())</f>
        <v>1.7934845949661243E-2</v>
      </c>
      <c r="T3" s="3">
        <f t="shared" ref="T3:T66" si="0">IF(H3=L3,1,0)</f>
        <v>0</v>
      </c>
      <c r="U3" s="1">
        <v>10</v>
      </c>
      <c r="V3">
        <v>1506.134</v>
      </c>
      <c r="W3">
        <v>0.69</v>
      </c>
    </row>
    <row r="4" spans="1:23" x14ac:dyDescent="0.3">
      <c r="B4" t="s">
        <v>9</v>
      </c>
      <c r="C4" t="s">
        <v>10</v>
      </c>
      <c r="D4" t="s">
        <v>13</v>
      </c>
      <c r="E4" t="s">
        <v>12</v>
      </c>
      <c r="F4" s="2">
        <v>134</v>
      </c>
      <c r="G4">
        <v>4534</v>
      </c>
      <c r="H4">
        <v>10</v>
      </c>
      <c r="I4">
        <v>4942.1702039807797</v>
      </c>
      <c r="J4">
        <v>4.96059159995638E-2</v>
      </c>
      <c r="K4">
        <v>247</v>
      </c>
      <c r="L4">
        <v>3</v>
      </c>
      <c r="M4">
        <v>3674.6047493328801</v>
      </c>
      <c r="N4">
        <v>9.2066700017310005E-4</v>
      </c>
      <c r="O4">
        <v>400</v>
      </c>
      <c r="P4">
        <v>8</v>
      </c>
      <c r="Q4">
        <v>4704.6789820000004</v>
      </c>
      <c r="R4">
        <v>0.24610908400000001</v>
      </c>
      <c r="S4" t="e">
        <f t="shared" ref="S4:S67" si="1">IF(P4=H4,(Q4-I4)/I4,NA())</f>
        <v>#N/A</v>
      </c>
      <c r="T4" s="3">
        <f t="shared" si="0"/>
        <v>0</v>
      </c>
      <c r="U4" s="1">
        <v>10</v>
      </c>
      <c r="V4">
        <v>4942.17</v>
      </c>
      <c r="W4">
        <v>0.73</v>
      </c>
    </row>
    <row r="5" spans="1:23" x14ac:dyDescent="0.3">
      <c r="A5">
        <f>1+A3</f>
        <v>2</v>
      </c>
      <c r="B5" t="s">
        <v>9</v>
      </c>
      <c r="C5" t="s">
        <v>10</v>
      </c>
      <c r="D5" t="s">
        <v>11</v>
      </c>
      <c r="E5" t="s">
        <v>14</v>
      </c>
      <c r="F5" s="2">
        <v>135</v>
      </c>
      <c r="G5">
        <v>4648</v>
      </c>
      <c r="H5">
        <v>10</v>
      </c>
      <c r="I5">
        <v>487.94223846170701</v>
      </c>
      <c r="J5">
        <v>2.3043375000270299E-2</v>
      </c>
      <c r="K5">
        <v>2646</v>
      </c>
      <c r="L5">
        <v>7</v>
      </c>
      <c r="M5">
        <v>543.24317690561304</v>
      </c>
      <c r="N5">
        <v>5.9542500021052E-3</v>
      </c>
      <c r="O5">
        <v>400</v>
      </c>
      <c r="P5">
        <v>11</v>
      </c>
      <c r="Q5">
        <v>517.26024040000004</v>
      </c>
      <c r="R5">
        <v>0.22719191699999999</v>
      </c>
      <c r="S5" t="e">
        <f t="shared" si="1"/>
        <v>#N/A</v>
      </c>
      <c r="T5" s="3">
        <f t="shared" si="0"/>
        <v>0</v>
      </c>
      <c r="U5" s="1">
        <v>10</v>
      </c>
      <c r="V5">
        <v>493.53300000000002</v>
      </c>
      <c r="W5">
        <v>0.72</v>
      </c>
    </row>
    <row r="6" spans="1:23" x14ac:dyDescent="0.3">
      <c r="B6" t="s">
        <v>9</v>
      </c>
      <c r="C6" t="s">
        <v>10</v>
      </c>
      <c r="D6" t="s">
        <v>13</v>
      </c>
      <c r="E6" t="s">
        <v>14</v>
      </c>
      <c r="F6" s="2">
        <v>135</v>
      </c>
      <c r="G6">
        <v>4648</v>
      </c>
      <c r="H6">
        <v>10</v>
      </c>
      <c r="I6">
        <v>97.570637425461598</v>
      </c>
      <c r="J6">
        <v>2.6079916999151399E-2</v>
      </c>
      <c r="K6">
        <v>2518</v>
      </c>
      <c r="L6">
        <v>4</v>
      </c>
      <c r="M6">
        <v>127.473570617606</v>
      </c>
      <c r="N6">
        <v>8.2104169996455E-3</v>
      </c>
      <c r="O6">
        <v>400</v>
      </c>
      <c r="P6">
        <v>7</v>
      </c>
      <c r="Q6">
        <v>106.6076035</v>
      </c>
      <c r="R6">
        <v>0.254788458</v>
      </c>
      <c r="S6" t="e">
        <f t="shared" si="1"/>
        <v>#N/A</v>
      </c>
      <c r="T6" s="3">
        <f t="shared" si="0"/>
        <v>0</v>
      </c>
      <c r="U6" s="1">
        <v>10</v>
      </c>
      <c r="V6">
        <v>97.57</v>
      </c>
      <c r="W6">
        <v>0.76</v>
      </c>
    </row>
    <row r="7" spans="1:23" x14ac:dyDescent="0.3">
      <c r="A7">
        <f>1+A5</f>
        <v>3</v>
      </c>
      <c r="B7" t="s">
        <v>9</v>
      </c>
      <c r="C7" t="s">
        <v>10</v>
      </c>
      <c r="D7" t="s">
        <v>11</v>
      </c>
      <c r="E7" t="s">
        <v>15</v>
      </c>
      <c r="F7" s="2">
        <v>135</v>
      </c>
      <c r="G7">
        <v>4648</v>
      </c>
      <c r="H7">
        <v>10</v>
      </c>
      <c r="I7">
        <v>1395.3675476954299</v>
      </c>
      <c r="J7">
        <v>2.1387042001151699E-2</v>
      </c>
      <c r="K7">
        <v>4217</v>
      </c>
      <c r="L7">
        <v>3</v>
      </c>
      <c r="M7">
        <v>1511.32616394252</v>
      </c>
      <c r="N7">
        <v>9.3170420004752997E-3</v>
      </c>
      <c r="O7">
        <v>400</v>
      </c>
      <c r="P7">
        <v>6</v>
      </c>
      <c r="Q7">
        <v>1454.692063</v>
      </c>
      <c r="R7">
        <v>0.26222275</v>
      </c>
      <c r="S7" t="e">
        <f t="shared" si="1"/>
        <v>#N/A</v>
      </c>
      <c r="T7" s="3">
        <f t="shared" si="0"/>
        <v>0</v>
      </c>
      <c r="U7" s="1">
        <v>10</v>
      </c>
      <c r="V7">
        <v>1403.367</v>
      </c>
      <c r="W7">
        <v>0.71</v>
      </c>
    </row>
    <row r="8" spans="1:23" x14ac:dyDescent="0.3">
      <c r="B8" t="s">
        <v>9</v>
      </c>
      <c r="C8" t="s">
        <v>10</v>
      </c>
      <c r="D8" t="s">
        <v>13</v>
      </c>
      <c r="E8" t="s">
        <v>15</v>
      </c>
      <c r="F8" s="2">
        <v>135</v>
      </c>
      <c r="G8">
        <v>4648</v>
      </c>
      <c r="H8">
        <v>10</v>
      </c>
      <c r="I8">
        <v>2816.0762460800302</v>
      </c>
      <c r="J8">
        <v>2.6920208001683901E-2</v>
      </c>
      <c r="K8">
        <v>252</v>
      </c>
      <c r="L8">
        <v>3</v>
      </c>
      <c r="M8">
        <v>2040.4539951325401</v>
      </c>
      <c r="N8">
        <v>8.9633300012789999E-4</v>
      </c>
      <c r="O8">
        <v>400</v>
      </c>
      <c r="P8">
        <v>5</v>
      </c>
      <c r="Q8">
        <v>2070.5649010000002</v>
      </c>
      <c r="R8">
        <v>0.19266333299999999</v>
      </c>
      <c r="S8" t="e">
        <f t="shared" si="1"/>
        <v>#N/A</v>
      </c>
      <c r="T8" s="3">
        <f t="shared" si="0"/>
        <v>0</v>
      </c>
      <c r="U8" s="1">
        <v>10</v>
      </c>
      <c r="V8">
        <v>2816.076</v>
      </c>
      <c r="W8">
        <v>0.69</v>
      </c>
    </row>
    <row r="9" spans="1:23" x14ac:dyDescent="0.3">
      <c r="A9">
        <f>1+A7</f>
        <v>4</v>
      </c>
      <c r="B9" t="s">
        <v>9</v>
      </c>
      <c r="C9" t="s">
        <v>10</v>
      </c>
      <c r="D9" t="s">
        <v>11</v>
      </c>
      <c r="E9" t="s">
        <v>16</v>
      </c>
      <c r="F9" s="2">
        <v>71</v>
      </c>
      <c r="G9">
        <v>232</v>
      </c>
      <c r="H9">
        <v>8</v>
      </c>
      <c r="I9">
        <v>918.02557255422096</v>
      </c>
      <c r="J9">
        <v>9.030420005728E-4</v>
      </c>
      <c r="K9">
        <v>1181</v>
      </c>
      <c r="L9">
        <v>1</v>
      </c>
      <c r="M9">
        <v>992.13092420200098</v>
      </c>
      <c r="N9">
        <v>2.6265000014973E-3</v>
      </c>
      <c r="O9">
        <v>400</v>
      </c>
      <c r="P9">
        <v>3</v>
      </c>
      <c r="Q9">
        <v>954.95621749999998</v>
      </c>
      <c r="R9">
        <v>7.4379208000000002E-2</v>
      </c>
      <c r="S9" t="e">
        <f t="shared" si="1"/>
        <v>#N/A</v>
      </c>
      <c r="T9" s="3">
        <f t="shared" si="0"/>
        <v>0</v>
      </c>
      <c r="U9" s="1">
        <v>8</v>
      </c>
      <c r="V9">
        <v>926.02499999999998</v>
      </c>
      <c r="W9">
        <v>0.19</v>
      </c>
    </row>
    <row r="10" spans="1:23" x14ac:dyDescent="0.3">
      <c r="B10" t="s">
        <v>9</v>
      </c>
      <c r="C10" t="s">
        <v>10</v>
      </c>
      <c r="D10" t="s">
        <v>13</v>
      </c>
      <c r="E10" t="s">
        <v>16</v>
      </c>
      <c r="F10" s="2">
        <v>71</v>
      </c>
      <c r="G10">
        <v>232</v>
      </c>
      <c r="H10">
        <v>8</v>
      </c>
      <c r="I10">
        <v>7173.50923221834</v>
      </c>
      <c r="J10">
        <v>1.1538329999893E-3</v>
      </c>
      <c r="K10">
        <v>122</v>
      </c>
      <c r="L10">
        <v>1</v>
      </c>
      <c r="M10">
        <v>3054.3999895680799</v>
      </c>
      <c r="N10">
        <v>4.557920001388E-4</v>
      </c>
      <c r="O10">
        <v>400</v>
      </c>
      <c r="P10">
        <v>3</v>
      </c>
      <c r="Q10">
        <v>4798.5405099999998</v>
      </c>
      <c r="R10">
        <v>8.7911832999999995E-2</v>
      </c>
      <c r="S10" t="e">
        <f t="shared" si="1"/>
        <v>#N/A</v>
      </c>
      <c r="T10" s="3">
        <f t="shared" si="0"/>
        <v>0</v>
      </c>
      <c r="U10" s="1">
        <v>8</v>
      </c>
      <c r="V10">
        <v>7173.509</v>
      </c>
      <c r="W10">
        <v>0.18</v>
      </c>
    </row>
    <row r="11" spans="1:23" x14ac:dyDescent="0.3">
      <c r="A11">
        <f>1+A9</f>
        <v>5</v>
      </c>
      <c r="B11" t="s">
        <v>9</v>
      </c>
      <c r="C11" t="s">
        <v>10</v>
      </c>
      <c r="D11" t="s">
        <v>11</v>
      </c>
      <c r="E11" t="s">
        <v>17</v>
      </c>
      <c r="F11" s="2">
        <v>138</v>
      </c>
      <c r="G11">
        <v>4996</v>
      </c>
      <c r="H11">
        <v>10</v>
      </c>
      <c r="I11">
        <v>602.80629062495404</v>
      </c>
      <c r="J11">
        <v>2.3285999999643502E-2</v>
      </c>
      <c r="K11">
        <v>3426</v>
      </c>
      <c r="L11">
        <v>5</v>
      </c>
      <c r="M11">
        <v>690.94973740272997</v>
      </c>
      <c r="N11">
        <v>7.7662499970756003E-3</v>
      </c>
      <c r="O11">
        <v>400</v>
      </c>
      <c r="P11">
        <v>10</v>
      </c>
      <c r="Q11">
        <v>607.63310679999995</v>
      </c>
      <c r="R11">
        <v>0.26316795900000001</v>
      </c>
      <c r="S11">
        <f t="shared" si="1"/>
        <v>8.0072425422796217E-3</v>
      </c>
      <c r="T11" s="3">
        <f t="shared" si="0"/>
        <v>0</v>
      </c>
    </row>
    <row r="12" spans="1:23" x14ac:dyDescent="0.3">
      <c r="B12" t="s">
        <v>9</v>
      </c>
      <c r="C12" t="s">
        <v>10</v>
      </c>
      <c r="D12" t="s">
        <v>13</v>
      </c>
      <c r="E12" t="s">
        <v>17</v>
      </c>
      <c r="F12" s="2">
        <v>138</v>
      </c>
      <c r="G12">
        <v>4996</v>
      </c>
      <c r="H12">
        <v>10</v>
      </c>
      <c r="I12">
        <v>147.30283741924401</v>
      </c>
      <c r="J12">
        <v>2.9259792001539602E-2</v>
      </c>
      <c r="K12">
        <v>2045</v>
      </c>
      <c r="L12">
        <v>3</v>
      </c>
      <c r="M12">
        <v>121.70175067820099</v>
      </c>
      <c r="N12">
        <v>6.6881669990833999E-3</v>
      </c>
      <c r="O12">
        <v>400</v>
      </c>
      <c r="P12">
        <v>5</v>
      </c>
      <c r="Q12">
        <v>126.69187839999999</v>
      </c>
      <c r="R12">
        <v>0.211451625</v>
      </c>
      <c r="S12" t="e">
        <f t="shared" si="1"/>
        <v>#N/A</v>
      </c>
      <c r="T12" s="3">
        <f t="shared" si="0"/>
        <v>0</v>
      </c>
    </row>
    <row r="13" spans="1:23" x14ac:dyDescent="0.3">
      <c r="A13">
        <f>1+A11</f>
        <v>6</v>
      </c>
      <c r="B13" t="s">
        <v>9</v>
      </c>
      <c r="C13" t="s">
        <v>18</v>
      </c>
      <c r="D13" t="s">
        <v>11</v>
      </c>
      <c r="E13" t="s">
        <v>19</v>
      </c>
      <c r="F13" s="2">
        <v>79</v>
      </c>
      <c r="G13">
        <v>268</v>
      </c>
      <c r="H13">
        <v>9</v>
      </c>
      <c r="I13">
        <v>711.06543522588197</v>
      </c>
      <c r="J13">
        <v>1.085250001779E-3</v>
      </c>
      <c r="K13">
        <v>2015</v>
      </c>
      <c r="L13">
        <v>1</v>
      </c>
      <c r="M13">
        <v>878.61342647987306</v>
      </c>
      <c r="N13">
        <v>4.4216249989403001E-3</v>
      </c>
      <c r="O13">
        <v>400</v>
      </c>
      <c r="P13">
        <v>7</v>
      </c>
      <c r="Q13">
        <v>719.26289169999995</v>
      </c>
      <c r="R13">
        <v>0.11412412500000001</v>
      </c>
      <c r="S13" t="e">
        <f t="shared" si="1"/>
        <v>#N/A</v>
      </c>
      <c r="T13" s="3">
        <f t="shared" si="0"/>
        <v>0</v>
      </c>
      <c r="U13" s="1">
        <v>9</v>
      </c>
      <c r="V13">
        <v>720.06500000000005</v>
      </c>
      <c r="W13">
        <v>0.24</v>
      </c>
    </row>
    <row r="14" spans="1:23" x14ac:dyDescent="0.3">
      <c r="B14" t="s">
        <v>9</v>
      </c>
      <c r="C14" t="s">
        <v>18</v>
      </c>
      <c r="D14" t="s">
        <v>13</v>
      </c>
      <c r="E14" t="s">
        <v>19</v>
      </c>
      <c r="F14" s="2">
        <v>79</v>
      </c>
      <c r="G14">
        <v>268</v>
      </c>
      <c r="H14">
        <v>9</v>
      </c>
      <c r="I14">
        <v>1154.098954864</v>
      </c>
      <c r="J14">
        <v>1.3681250020454001E-3</v>
      </c>
      <c r="K14">
        <v>205</v>
      </c>
      <c r="L14">
        <v>2</v>
      </c>
      <c r="M14">
        <v>852.783101283777</v>
      </c>
      <c r="N14">
        <v>7.3979099761340003E-4</v>
      </c>
      <c r="O14">
        <v>400</v>
      </c>
      <c r="P14">
        <v>6</v>
      </c>
      <c r="Q14">
        <v>967.65327639999998</v>
      </c>
      <c r="R14">
        <v>0.10179954200000001</v>
      </c>
      <c r="S14" t="e">
        <f t="shared" si="1"/>
        <v>#N/A</v>
      </c>
      <c r="T14" s="3">
        <f t="shared" si="0"/>
        <v>0</v>
      </c>
      <c r="U14" s="1">
        <v>9</v>
      </c>
      <c r="V14">
        <v>1154.098</v>
      </c>
      <c r="W14">
        <v>0.24</v>
      </c>
    </row>
    <row r="15" spans="1:23" x14ac:dyDescent="0.3">
      <c r="A15">
        <f>1+A13</f>
        <v>7</v>
      </c>
      <c r="B15" t="s">
        <v>9</v>
      </c>
      <c r="C15" t="s">
        <v>18</v>
      </c>
      <c r="D15" t="s">
        <v>11</v>
      </c>
      <c r="E15" t="s">
        <v>20</v>
      </c>
      <c r="F15" s="2">
        <v>133</v>
      </c>
      <c r="G15">
        <v>4421</v>
      </c>
      <c r="H15">
        <v>10</v>
      </c>
      <c r="I15">
        <v>703.73073976309502</v>
      </c>
      <c r="J15">
        <v>2.0574582998960901E-2</v>
      </c>
      <c r="K15">
        <v>1950</v>
      </c>
      <c r="L15">
        <v>9</v>
      </c>
      <c r="M15">
        <v>721.74215185574405</v>
      </c>
      <c r="N15">
        <v>4.4595830004253998E-3</v>
      </c>
      <c r="O15">
        <v>400</v>
      </c>
      <c r="P15">
        <v>11</v>
      </c>
      <c r="Q15">
        <v>698.85870060000002</v>
      </c>
      <c r="R15">
        <v>0.236668875</v>
      </c>
      <c r="S15" t="e">
        <f t="shared" si="1"/>
        <v>#N/A</v>
      </c>
      <c r="T15" s="3">
        <f t="shared" si="0"/>
        <v>0</v>
      </c>
    </row>
    <row r="16" spans="1:23" x14ac:dyDescent="0.3">
      <c r="B16" t="s">
        <v>9</v>
      </c>
      <c r="C16" t="s">
        <v>18</v>
      </c>
      <c r="D16" t="s">
        <v>13</v>
      </c>
      <c r="E16" t="s">
        <v>20</v>
      </c>
      <c r="F16" s="2">
        <v>133</v>
      </c>
      <c r="G16">
        <v>4421</v>
      </c>
      <c r="H16">
        <v>10</v>
      </c>
      <c r="I16">
        <v>229.61847866836999</v>
      </c>
      <c r="J16">
        <v>2.5779208001040301E-2</v>
      </c>
      <c r="K16">
        <v>1119</v>
      </c>
      <c r="L16">
        <v>6</v>
      </c>
      <c r="M16">
        <v>284.14058998347298</v>
      </c>
      <c r="N16">
        <v>3.7381249967438001E-3</v>
      </c>
      <c r="O16">
        <v>400</v>
      </c>
      <c r="P16">
        <v>9</v>
      </c>
      <c r="Q16">
        <v>234.18937639999999</v>
      </c>
      <c r="R16">
        <v>0.21447350000000001</v>
      </c>
      <c r="S16" t="e">
        <f t="shared" si="1"/>
        <v>#N/A</v>
      </c>
      <c r="T16" s="3">
        <f t="shared" si="0"/>
        <v>0</v>
      </c>
    </row>
    <row r="17" spans="1:20" x14ac:dyDescent="0.3">
      <c r="A17">
        <f>1+A15</f>
        <v>8</v>
      </c>
      <c r="B17" t="s">
        <v>9</v>
      </c>
      <c r="C17" t="s">
        <v>18</v>
      </c>
      <c r="D17" t="s">
        <v>11</v>
      </c>
      <c r="E17" t="s">
        <v>21</v>
      </c>
      <c r="F17" s="2">
        <v>134</v>
      </c>
      <c r="G17">
        <v>4534</v>
      </c>
      <c r="H17">
        <v>10</v>
      </c>
      <c r="I17">
        <v>1174.96873752942</v>
      </c>
      <c r="J17">
        <v>2.23904589984158E-2</v>
      </c>
      <c r="K17">
        <v>3893</v>
      </c>
      <c r="L17">
        <v>3</v>
      </c>
      <c r="M17">
        <v>1388.1447966866599</v>
      </c>
      <c r="N17">
        <v>8.8761249971867004E-3</v>
      </c>
      <c r="O17">
        <v>400</v>
      </c>
      <c r="P17">
        <v>10</v>
      </c>
      <c r="Q17">
        <v>1208.4665130000001</v>
      </c>
      <c r="R17">
        <v>0.24354075</v>
      </c>
      <c r="S17">
        <f t="shared" si="1"/>
        <v>2.8509503615402668E-2</v>
      </c>
      <c r="T17" s="3">
        <f t="shared" si="0"/>
        <v>0</v>
      </c>
    </row>
    <row r="18" spans="1:20" x14ac:dyDescent="0.3">
      <c r="B18" t="s">
        <v>9</v>
      </c>
      <c r="C18" t="s">
        <v>18</v>
      </c>
      <c r="D18" t="s">
        <v>13</v>
      </c>
      <c r="E18" t="s">
        <v>21</v>
      </c>
      <c r="F18" s="2">
        <v>134</v>
      </c>
      <c r="G18">
        <v>4534</v>
      </c>
      <c r="H18">
        <v>10</v>
      </c>
      <c r="I18">
        <v>1342.2348235428001</v>
      </c>
      <c r="J18">
        <v>2.5195750000420899E-2</v>
      </c>
      <c r="K18">
        <v>514</v>
      </c>
      <c r="L18">
        <v>7</v>
      </c>
      <c r="M18">
        <v>1315.39807337255</v>
      </c>
      <c r="N18">
        <v>1.8162919986933999E-3</v>
      </c>
      <c r="O18">
        <v>400</v>
      </c>
      <c r="P18">
        <v>12</v>
      </c>
      <c r="Q18">
        <v>1457.9246370000001</v>
      </c>
      <c r="R18">
        <v>0.29985812499999998</v>
      </c>
      <c r="S18" t="e">
        <f t="shared" si="1"/>
        <v>#N/A</v>
      </c>
      <c r="T18" s="3">
        <f t="shared" si="0"/>
        <v>0</v>
      </c>
    </row>
    <row r="19" spans="1:20" x14ac:dyDescent="0.3">
      <c r="A19">
        <f>1+A17</f>
        <v>9</v>
      </c>
      <c r="B19" t="s">
        <v>9</v>
      </c>
      <c r="C19" t="s">
        <v>18</v>
      </c>
      <c r="D19" t="s">
        <v>11</v>
      </c>
      <c r="E19" t="s">
        <v>22</v>
      </c>
      <c r="F19" s="2">
        <v>134</v>
      </c>
      <c r="G19">
        <v>4534</v>
      </c>
      <c r="H19">
        <v>10</v>
      </c>
      <c r="I19">
        <v>776.78840586934405</v>
      </c>
      <c r="J19">
        <v>2.1091958999022602E-2</v>
      </c>
      <c r="K19">
        <v>3376</v>
      </c>
      <c r="L19">
        <v>3</v>
      </c>
      <c r="M19">
        <v>921.55344020151199</v>
      </c>
      <c r="N19">
        <v>7.6215000008231998E-3</v>
      </c>
      <c r="O19">
        <v>400</v>
      </c>
      <c r="P19">
        <v>9</v>
      </c>
      <c r="Q19">
        <v>819.5941613</v>
      </c>
      <c r="R19">
        <v>0.228181625</v>
      </c>
      <c r="S19" t="e">
        <f t="shared" si="1"/>
        <v>#N/A</v>
      </c>
      <c r="T19" s="3">
        <f t="shared" si="0"/>
        <v>0</v>
      </c>
    </row>
    <row r="20" spans="1:20" x14ac:dyDescent="0.3">
      <c r="B20" t="s">
        <v>9</v>
      </c>
      <c r="C20" t="s">
        <v>18</v>
      </c>
      <c r="D20" t="s">
        <v>13</v>
      </c>
      <c r="E20" t="s">
        <v>22</v>
      </c>
      <c r="F20" s="2">
        <v>134</v>
      </c>
      <c r="G20">
        <v>4534</v>
      </c>
      <c r="H20">
        <v>10</v>
      </c>
      <c r="I20">
        <v>296.90099943032999</v>
      </c>
      <c r="J20">
        <v>2.6360957999713702E-2</v>
      </c>
      <c r="K20">
        <v>592</v>
      </c>
      <c r="L20">
        <v>2</v>
      </c>
      <c r="M20">
        <v>306.13002147558802</v>
      </c>
      <c r="N20">
        <v>1.9558749991118998E-3</v>
      </c>
      <c r="O20">
        <v>400</v>
      </c>
      <c r="P20">
        <v>6</v>
      </c>
      <c r="Q20">
        <v>293.93172850000002</v>
      </c>
      <c r="R20">
        <v>0.22124437499999999</v>
      </c>
      <c r="S20" t="e">
        <f t="shared" si="1"/>
        <v>#N/A</v>
      </c>
      <c r="T20" s="3">
        <f t="shared" si="0"/>
        <v>0</v>
      </c>
    </row>
    <row r="21" spans="1:20" x14ac:dyDescent="0.3">
      <c r="A21">
        <f>1+A19</f>
        <v>10</v>
      </c>
      <c r="B21" t="s">
        <v>9</v>
      </c>
      <c r="C21" t="s">
        <v>18</v>
      </c>
      <c r="D21" t="s">
        <v>11</v>
      </c>
      <c r="E21" t="s">
        <v>23</v>
      </c>
      <c r="F21" s="2">
        <v>144</v>
      </c>
      <c r="G21">
        <v>5719</v>
      </c>
      <c r="H21">
        <v>10</v>
      </c>
      <c r="I21">
        <v>2233.4543852075799</v>
      </c>
      <c r="J21">
        <v>5.8887708000838701E-2</v>
      </c>
      <c r="K21">
        <v>2554</v>
      </c>
      <c r="L21">
        <v>2</v>
      </c>
      <c r="M21">
        <v>2286.6403570822299</v>
      </c>
      <c r="N21">
        <v>5.6888330000218999E-3</v>
      </c>
      <c r="O21">
        <v>400</v>
      </c>
      <c r="P21">
        <v>3</v>
      </c>
      <c r="Q21">
        <v>2265.0927390000002</v>
      </c>
      <c r="R21">
        <v>0.23185600000000001</v>
      </c>
      <c r="S21" t="e">
        <f t="shared" si="1"/>
        <v>#N/A</v>
      </c>
      <c r="T21" s="3">
        <f t="shared" si="0"/>
        <v>0</v>
      </c>
    </row>
    <row r="22" spans="1:20" x14ac:dyDescent="0.3">
      <c r="B22" t="s">
        <v>9</v>
      </c>
      <c r="C22" t="s">
        <v>18</v>
      </c>
      <c r="D22" t="s">
        <v>13</v>
      </c>
      <c r="E22" t="s">
        <v>23</v>
      </c>
      <c r="F22" s="2">
        <v>144</v>
      </c>
      <c r="G22">
        <v>5719</v>
      </c>
      <c r="H22">
        <v>10</v>
      </c>
      <c r="I22">
        <v>34328.889212190297</v>
      </c>
      <c r="J22">
        <v>3.24511670005449E-2</v>
      </c>
      <c r="K22">
        <v>266</v>
      </c>
      <c r="L22">
        <v>1</v>
      </c>
      <c r="M22">
        <v>12224.488474161401</v>
      </c>
      <c r="N22">
        <v>9.7029199969249998E-4</v>
      </c>
      <c r="O22">
        <v>400</v>
      </c>
      <c r="P22">
        <v>2</v>
      </c>
      <c r="Q22">
        <v>19808.32821</v>
      </c>
      <c r="R22">
        <v>0.15454324999999999</v>
      </c>
      <c r="S22" t="e">
        <f t="shared" si="1"/>
        <v>#N/A</v>
      </c>
      <c r="T22" s="3">
        <f t="shared" si="0"/>
        <v>0</v>
      </c>
    </row>
    <row r="23" spans="1:20" x14ac:dyDescent="0.3">
      <c r="A23">
        <f>1+A21</f>
        <v>11</v>
      </c>
      <c r="B23" t="s">
        <v>9</v>
      </c>
      <c r="C23" t="s">
        <v>24</v>
      </c>
      <c r="D23" t="s">
        <v>11</v>
      </c>
      <c r="E23" t="s">
        <v>25</v>
      </c>
      <c r="F23" s="2">
        <v>140</v>
      </c>
      <c r="G23">
        <v>5233</v>
      </c>
      <c r="H23">
        <v>10</v>
      </c>
      <c r="I23">
        <v>1537.89692594907</v>
      </c>
      <c r="J23">
        <v>2.4805834000289899E-2</v>
      </c>
      <c r="K23">
        <v>4286</v>
      </c>
      <c r="L23">
        <v>2</v>
      </c>
      <c r="M23">
        <v>1621.9412258868799</v>
      </c>
      <c r="N23">
        <v>9.5902079992811005E-3</v>
      </c>
      <c r="O23">
        <v>400</v>
      </c>
      <c r="P23">
        <v>6</v>
      </c>
      <c r="Q23">
        <v>1569.164248</v>
      </c>
      <c r="R23">
        <v>0.244698417</v>
      </c>
      <c r="S23" t="e">
        <f t="shared" si="1"/>
        <v>#N/A</v>
      </c>
      <c r="T23" s="3">
        <f t="shared" si="0"/>
        <v>0</v>
      </c>
    </row>
    <row r="24" spans="1:20" x14ac:dyDescent="0.3">
      <c r="B24" t="s">
        <v>9</v>
      </c>
      <c r="C24" t="s">
        <v>24</v>
      </c>
      <c r="D24" t="s">
        <v>13</v>
      </c>
      <c r="E24" t="s">
        <v>25</v>
      </c>
      <c r="F24" s="2">
        <v>140</v>
      </c>
      <c r="G24">
        <v>5233</v>
      </c>
      <c r="H24">
        <v>10</v>
      </c>
      <c r="I24">
        <v>3617.7075067093401</v>
      </c>
      <c r="J24">
        <v>2.9666041999007499E-2</v>
      </c>
      <c r="K24">
        <v>258</v>
      </c>
      <c r="L24">
        <v>1</v>
      </c>
      <c r="M24">
        <v>1284.2813904324501</v>
      </c>
      <c r="N24">
        <v>9.3437500254359997E-4</v>
      </c>
      <c r="O24">
        <v>400</v>
      </c>
      <c r="P24">
        <v>3</v>
      </c>
      <c r="Q24">
        <v>2707.9515590000001</v>
      </c>
      <c r="R24">
        <v>0.221977375</v>
      </c>
      <c r="S24" t="e">
        <f t="shared" si="1"/>
        <v>#N/A</v>
      </c>
      <c r="T24" s="3">
        <f t="shared" si="0"/>
        <v>0</v>
      </c>
    </row>
    <row r="25" spans="1:20" x14ac:dyDescent="0.3">
      <c r="A25">
        <f>1+A23</f>
        <v>12</v>
      </c>
      <c r="B25" t="s">
        <v>9</v>
      </c>
      <c r="C25" t="s">
        <v>24</v>
      </c>
      <c r="D25" t="s">
        <v>11</v>
      </c>
      <c r="E25" t="s">
        <v>26</v>
      </c>
      <c r="F25" s="2">
        <v>134</v>
      </c>
      <c r="G25">
        <v>4534</v>
      </c>
      <c r="H25">
        <v>10</v>
      </c>
      <c r="I25">
        <v>1499.62578072622</v>
      </c>
      <c r="J25">
        <v>2.2379499998351E-2</v>
      </c>
      <c r="K25">
        <v>5736</v>
      </c>
      <c r="L25">
        <v>1</v>
      </c>
      <c r="M25">
        <v>1618.5261927461199</v>
      </c>
      <c r="N25">
        <v>1.29654999982449E-2</v>
      </c>
      <c r="O25">
        <v>400</v>
      </c>
      <c r="P25">
        <v>4</v>
      </c>
      <c r="Q25">
        <v>1545.9045900000001</v>
      </c>
      <c r="R25">
        <v>0.275273084</v>
      </c>
      <c r="S25" t="e">
        <f t="shared" si="1"/>
        <v>#N/A</v>
      </c>
      <c r="T25" s="3">
        <f t="shared" si="0"/>
        <v>0</v>
      </c>
    </row>
    <row r="26" spans="1:20" x14ac:dyDescent="0.3">
      <c r="B26" t="s">
        <v>9</v>
      </c>
      <c r="C26" t="s">
        <v>24</v>
      </c>
      <c r="D26" t="s">
        <v>13</v>
      </c>
      <c r="E26" t="s">
        <v>26</v>
      </c>
      <c r="F26" s="2">
        <v>134</v>
      </c>
      <c r="G26">
        <v>4534</v>
      </c>
      <c r="H26">
        <v>10</v>
      </c>
      <c r="I26">
        <v>4324.3531977988996</v>
      </c>
      <c r="J26">
        <v>2.6447874999576002E-2</v>
      </c>
      <c r="K26">
        <v>246</v>
      </c>
      <c r="L26">
        <v>1</v>
      </c>
      <c r="M26">
        <v>1406.43219079339</v>
      </c>
      <c r="N26">
        <v>8.8687500101509997E-4</v>
      </c>
      <c r="O26">
        <v>400</v>
      </c>
      <c r="P26">
        <v>2</v>
      </c>
      <c r="Q26">
        <v>2341.8288339999999</v>
      </c>
      <c r="R26">
        <v>0.14793262500000001</v>
      </c>
      <c r="S26" t="e">
        <f t="shared" si="1"/>
        <v>#N/A</v>
      </c>
      <c r="T26" s="3">
        <f t="shared" si="0"/>
        <v>0</v>
      </c>
    </row>
    <row r="27" spans="1:20" x14ac:dyDescent="0.3">
      <c r="A27">
        <f>1+A25</f>
        <v>13</v>
      </c>
      <c r="B27" t="s">
        <v>9</v>
      </c>
      <c r="C27" t="s">
        <v>24</v>
      </c>
      <c r="D27" t="s">
        <v>11</v>
      </c>
      <c r="E27" t="s">
        <v>27</v>
      </c>
      <c r="F27" s="2">
        <v>133</v>
      </c>
      <c r="G27">
        <v>4421</v>
      </c>
      <c r="H27">
        <v>10</v>
      </c>
      <c r="I27">
        <v>1570.0986124132901</v>
      </c>
      <c r="J27">
        <v>2.08044159990095E-2</v>
      </c>
      <c r="K27">
        <v>2828</v>
      </c>
      <c r="L27">
        <v>2</v>
      </c>
      <c r="M27">
        <v>1620.3091390955301</v>
      </c>
      <c r="N27">
        <v>6.3687920010124001E-3</v>
      </c>
      <c r="O27">
        <v>400</v>
      </c>
      <c r="P27">
        <v>5</v>
      </c>
      <c r="Q27">
        <v>1598.0351820000001</v>
      </c>
      <c r="R27">
        <v>0.22462633400000001</v>
      </c>
      <c r="S27" t="e">
        <f t="shared" si="1"/>
        <v>#N/A</v>
      </c>
      <c r="T27" s="3">
        <f t="shared" si="0"/>
        <v>0</v>
      </c>
    </row>
    <row r="28" spans="1:20" x14ac:dyDescent="0.3">
      <c r="B28" t="s">
        <v>9</v>
      </c>
      <c r="C28" t="s">
        <v>24</v>
      </c>
      <c r="D28" t="s">
        <v>13</v>
      </c>
      <c r="E28" t="s">
        <v>27</v>
      </c>
      <c r="F28" s="2">
        <v>133</v>
      </c>
      <c r="G28">
        <v>4421</v>
      </c>
      <c r="H28">
        <v>10</v>
      </c>
      <c r="I28">
        <v>5399.2982089066099</v>
      </c>
      <c r="J28">
        <v>2.6338958999985999E-2</v>
      </c>
      <c r="K28">
        <v>244</v>
      </c>
      <c r="L28">
        <v>1</v>
      </c>
      <c r="M28">
        <v>2176.6016672784599</v>
      </c>
      <c r="N28">
        <v>8.9079199824480002E-4</v>
      </c>
      <c r="O28">
        <v>400</v>
      </c>
      <c r="P28">
        <v>1</v>
      </c>
      <c r="Q28">
        <v>2176.6016669999999</v>
      </c>
      <c r="R28">
        <v>7.7495459000000003E-2</v>
      </c>
      <c r="S28" t="e">
        <f t="shared" si="1"/>
        <v>#N/A</v>
      </c>
      <c r="T28" s="3">
        <f t="shared" si="0"/>
        <v>0</v>
      </c>
    </row>
    <row r="29" spans="1:20" x14ac:dyDescent="0.3">
      <c r="A29">
        <f>1+A27</f>
        <v>14</v>
      </c>
      <c r="B29" t="s">
        <v>9</v>
      </c>
      <c r="C29" t="s">
        <v>24</v>
      </c>
      <c r="D29" t="s">
        <v>11</v>
      </c>
      <c r="E29" t="s">
        <v>28</v>
      </c>
      <c r="F29" s="2">
        <v>144</v>
      </c>
      <c r="G29">
        <v>5719</v>
      </c>
      <c r="H29">
        <v>10</v>
      </c>
      <c r="I29">
        <v>1516.2880216756</v>
      </c>
      <c r="J29">
        <v>2.8831415998865802E-2</v>
      </c>
      <c r="K29">
        <v>1235</v>
      </c>
      <c r="L29">
        <v>1</v>
      </c>
      <c r="M29">
        <v>1573.1483731337</v>
      </c>
      <c r="N29">
        <v>2.7978750003967E-3</v>
      </c>
      <c r="O29">
        <v>400</v>
      </c>
      <c r="P29">
        <v>1</v>
      </c>
      <c r="Q29">
        <v>1573.148373</v>
      </c>
      <c r="R29">
        <v>9.5966333000000001E-2</v>
      </c>
      <c r="S29" t="e">
        <f t="shared" si="1"/>
        <v>#N/A</v>
      </c>
      <c r="T29" s="3">
        <f t="shared" si="0"/>
        <v>0</v>
      </c>
    </row>
    <row r="30" spans="1:20" x14ac:dyDescent="0.3">
      <c r="B30" t="s">
        <v>9</v>
      </c>
      <c r="C30" t="s">
        <v>24</v>
      </c>
      <c r="D30" t="s">
        <v>13</v>
      </c>
      <c r="E30" t="s">
        <v>28</v>
      </c>
      <c r="F30" s="2">
        <v>144</v>
      </c>
      <c r="G30">
        <v>5719</v>
      </c>
      <c r="H30">
        <v>10</v>
      </c>
      <c r="I30">
        <v>2804.5704666036299</v>
      </c>
      <c r="J30">
        <v>3.3842250002635403E-2</v>
      </c>
      <c r="K30">
        <v>266</v>
      </c>
      <c r="L30">
        <v>1</v>
      </c>
      <c r="M30">
        <v>805.03453414119804</v>
      </c>
      <c r="N30">
        <v>9.5833399973340003E-4</v>
      </c>
      <c r="O30">
        <v>400</v>
      </c>
      <c r="P30">
        <v>1</v>
      </c>
      <c r="Q30">
        <v>805.03453409999997</v>
      </c>
      <c r="R30">
        <v>8.5194915999999996E-2</v>
      </c>
      <c r="S30" t="e">
        <f t="shared" si="1"/>
        <v>#N/A</v>
      </c>
      <c r="T30" s="3">
        <f t="shared" si="0"/>
        <v>0</v>
      </c>
    </row>
    <row r="31" spans="1:20" x14ac:dyDescent="0.3">
      <c r="A31">
        <f>1+A29</f>
        <v>15</v>
      </c>
      <c r="B31" t="s">
        <v>9</v>
      </c>
      <c r="C31" t="s">
        <v>24</v>
      </c>
      <c r="D31" t="s">
        <v>11</v>
      </c>
      <c r="E31" t="s">
        <v>29</v>
      </c>
      <c r="F31" s="2">
        <v>144</v>
      </c>
      <c r="G31">
        <v>5719</v>
      </c>
      <c r="H31">
        <v>10</v>
      </c>
      <c r="I31">
        <v>1840.0974912085201</v>
      </c>
      <c r="J31">
        <v>2.91292910005722E-2</v>
      </c>
      <c r="K31">
        <v>2391</v>
      </c>
      <c r="L31">
        <v>1</v>
      </c>
      <c r="M31">
        <v>1955.9147773013899</v>
      </c>
      <c r="N31">
        <v>5.2898750000166996E-3</v>
      </c>
      <c r="O31">
        <v>400</v>
      </c>
      <c r="P31">
        <v>12</v>
      </c>
      <c r="Q31">
        <v>1834.5839530000001</v>
      </c>
      <c r="R31">
        <v>0.53688550000000002</v>
      </c>
      <c r="S31" t="e">
        <f t="shared" si="1"/>
        <v>#N/A</v>
      </c>
      <c r="T31" s="3">
        <f t="shared" si="0"/>
        <v>0</v>
      </c>
    </row>
    <row r="32" spans="1:20" x14ac:dyDescent="0.3">
      <c r="B32" t="s">
        <v>9</v>
      </c>
      <c r="C32" t="s">
        <v>24</v>
      </c>
      <c r="D32" t="s">
        <v>13</v>
      </c>
      <c r="E32" t="s">
        <v>29</v>
      </c>
      <c r="F32" s="2">
        <v>144</v>
      </c>
      <c r="G32">
        <v>5719</v>
      </c>
      <c r="H32">
        <v>10</v>
      </c>
      <c r="I32">
        <v>8382.3591932571799</v>
      </c>
      <c r="J32">
        <v>3.4320666996791198E-2</v>
      </c>
      <c r="K32">
        <v>294</v>
      </c>
      <c r="L32">
        <v>12</v>
      </c>
      <c r="M32">
        <v>10858.689166921</v>
      </c>
      <c r="N32">
        <v>1.0896669991780001E-3</v>
      </c>
      <c r="O32">
        <v>400</v>
      </c>
      <c r="P32">
        <v>14</v>
      </c>
      <c r="Q32">
        <v>13781.616620000001</v>
      </c>
      <c r="R32">
        <v>0.44172212500000002</v>
      </c>
      <c r="S32" t="e">
        <f t="shared" si="1"/>
        <v>#N/A</v>
      </c>
      <c r="T32" s="3">
        <f t="shared" si="0"/>
        <v>0</v>
      </c>
    </row>
    <row r="33" spans="1:20" x14ac:dyDescent="0.3">
      <c r="A33">
        <f>1+A31</f>
        <v>16</v>
      </c>
      <c r="B33" t="s">
        <v>9</v>
      </c>
      <c r="C33" t="s">
        <v>30</v>
      </c>
      <c r="D33" t="s">
        <v>11</v>
      </c>
      <c r="E33" t="s">
        <v>31</v>
      </c>
      <c r="F33" s="2">
        <v>120</v>
      </c>
      <c r="G33">
        <v>3043</v>
      </c>
      <c r="H33">
        <v>10</v>
      </c>
      <c r="I33">
        <v>1176.58328992621</v>
      </c>
      <c r="J33">
        <v>1.4040792000741899E-2</v>
      </c>
      <c r="K33">
        <v>3231</v>
      </c>
      <c r="L33">
        <v>2</v>
      </c>
      <c r="M33">
        <v>1273.0045571595499</v>
      </c>
      <c r="N33">
        <v>7.3922920018958003E-3</v>
      </c>
      <c r="O33">
        <v>400</v>
      </c>
      <c r="P33">
        <v>5</v>
      </c>
      <c r="Q33">
        <v>1200.8838069999999</v>
      </c>
      <c r="R33">
        <v>0.23748525000000001</v>
      </c>
      <c r="S33" t="e">
        <f t="shared" si="1"/>
        <v>#N/A</v>
      </c>
      <c r="T33" s="3">
        <f t="shared" si="0"/>
        <v>0</v>
      </c>
    </row>
    <row r="34" spans="1:20" x14ac:dyDescent="0.3">
      <c r="B34" t="s">
        <v>9</v>
      </c>
      <c r="C34" t="s">
        <v>30</v>
      </c>
      <c r="D34" t="s">
        <v>13</v>
      </c>
      <c r="E34" t="s">
        <v>31</v>
      </c>
      <c r="F34" s="2">
        <v>120</v>
      </c>
      <c r="G34">
        <v>3043</v>
      </c>
      <c r="H34">
        <v>10</v>
      </c>
      <c r="I34">
        <v>2057.8053913805502</v>
      </c>
      <c r="J34">
        <v>1.8589417002658499E-2</v>
      </c>
      <c r="K34">
        <v>275</v>
      </c>
      <c r="L34">
        <v>2</v>
      </c>
      <c r="M34">
        <v>947.69665754987295</v>
      </c>
      <c r="N34">
        <v>9.809160001168001E-4</v>
      </c>
      <c r="O34">
        <v>400</v>
      </c>
      <c r="P34">
        <v>4</v>
      </c>
      <c r="Q34">
        <v>1325.043901</v>
      </c>
      <c r="R34">
        <v>0.205938541</v>
      </c>
      <c r="S34" t="e">
        <f t="shared" si="1"/>
        <v>#N/A</v>
      </c>
      <c r="T34" s="3">
        <f t="shared" si="0"/>
        <v>0</v>
      </c>
    </row>
    <row r="35" spans="1:20" x14ac:dyDescent="0.3">
      <c r="A35">
        <f>1+A33</f>
        <v>17</v>
      </c>
      <c r="B35" t="s">
        <v>9</v>
      </c>
      <c r="C35" t="s">
        <v>30</v>
      </c>
      <c r="D35" t="s">
        <v>11</v>
      </c>
      <c r="E35" t="s">
        <v>32</v>
      </c>
      <c r="F35" s="2">
        <v>98</v>
      </c>
      <c r="G35">
        <v>1096</v>
      </c>
      <c r="H35">
        <v>10</v>
      </c>
      <c r="I35">
        <v>612.26053328434296</v>
      </c>
      <c r="J35">
        <v>4.2066249989147E-3</v>
      </c>
      <c r="K35">
        <v>1988</v>
      </c>
      <c r="L35">
        <v>5</v>
      </c>
      <c r="M35">
        <v>664.59311704472304</v>
      </c>
      <c r="N35">
        <v>4.5254579999891003E-3</v>
      </c>
      <c r="O35">
        <v>400</v>
      </c>
      <c r="P35">
        <v>7</v>
      </c>
      <c r="Q35">
        <v>635.75275699999997</v>
      </c>
      <c r="R35">
        <v>0.14848966599999999</v>
      </c>
      <c r="S35" t="e">
        <f t="shared" si="1"/>
        <v>#N/A</v>
      </c>
      <c r="T35" s="3">
        <f t="shared" si="0"/>
        <v>0</v>
      </c>
    </row>
    <row r="36" spans="1:20" x14ac:dyDescent="0.3">
      <c r="B36" t="s">
        <v>9</v>
      </c>
      <c r="C36" t="s">
        <v>30</v>
      </c>
      <c r="D36" t="s">
        <v>13</v>
      </c>
      <c r="E36" t="s">
        <v>32</v>
      </c>
      <c r="F36" s="2">
        <v>98</v>
      </c>
      <c r="G36">
        <v>1096</v>
      </c>
      <c r="H36">
        <v>10</v>
      </c>
      <c r="I36">
        <v>359.37307865082499</v>
      </c>
      <c r="J36">
        <v>5.4592080014116999E-3</v>
      </c>
      <c r="K36">
        <v>372</v>
      </c>
      <c r="L36">
        <v>3</v>
      </c>
      <c r="M36">
        <v>324.05655965190903</v>
      </c>
      <c r="N36">
        <v>1.2791660010407001E-3</v>
      </c>
      <c r="O36">
        <v>400</v>
      </c>
      <c r="P36">
        <v>6</v>
      </c>
      <c r="Q36">
        <v>307.3571766</v>
      </c>
      <c r="R36">
        <v>0.13759716599999999</v>
      </c>
      <c r="S36" t="e">
        <f t="shared" si="1"/>
        <v>#N/A</v>
      </c>
      <c r="T36" s="3">
        <f t="shared" si="0"/>
        <v>0</v>
      </c>
    </row>
    <row r="37" spans="1:20" x14ac:dyDescent="0.3">
      <c r="A37">
        <f>1+A35</f>
        <v>18</v>
      </c>
      <c r="B37" t="s">
        <v>9</v>
      </c>
      <c r="C37" t="s">
        <v>30</v>
      </c>
      <c r="D37" t="s">
        <v>11</v>
      </c>
      <c r="E37" t="s">
        <v>33</v>
      </c>
      <c r="F37" s="2">
        <v>134</v>
      </c>
      <c r="G37">
        <v>4534</v>
      </c>
      <c r="H37">
        <v>10</v>
      </c>
      <c r="I37">
        <v>1283.64958535754</v>
      </c>
      <c r="J37">
        <v>5.4807165997772203E-2</v>
      </c>
      <c r="K37">
        <v>4915</v>
      </c>
      <c r="L37">
        <v>3</v>
      </c>
      <c r="M37">
        <v>1369.37997399242</v>
      </c>
      <c r="N37">
        <v>1.1036875002901E-2</v>
      </c>
      <c r="O37">
        <v>400</v>
      </c>
      <c r="P37">
        <v>8</v>
      </c>
      <c r="Q37">
        <v>1319.339755</v>
      </c>
      <c r="R37">
        <v>0.26759233300000002</v>
      </c>
      <c r="S37" t="e">
        <f t="shared" si="1"/>
        <v>#N/A</v>
      </c>
      <c r="T37" s="3">
        <f t="shared" si="0"/>
        <v>0</v>
      </c>
    </row>
    <row r="38" spans="1:20" x14ac:dyDescent="0.3">
      <c r="B38" t="s">
        <v>9</v>
      </c>
      <c r="C38" t="s">
        <v>30</v>
      </c>
      <c r="D38" t="s">
        <v>13</v>
      </c>
      <c r="E38" t="s">
        <v>33</v>
      </c>
      <c r="F38" s="2">
        <v>134</v>
      </c>
      <c r="G38">
        <v>4534</v>
      </c>
      <c r="H38">
        <v>10</v>
      </c>
      <c r="I38">
        <v>2025.2626140790101</v>
      </c>
      <c r="J38">
        <v>2.5136749998637201E-2</v>
      </c>
      <c r="K38">
        <v>264</v>
      </c>
      <c r="L38">
        <v>2</v>
      </c>
      <c r="M38">
        <v>1262.47760796077</v>
      </c>
      <c r="N38">
        <v>9.4733399964750005E-4</v>
      </c>
      <c r="O38">
        <v>400</v>
      </c>
      <c r="P38">
        <v>4</v>
      </c>
      <c r="Q38">
        <v>1414.5981489999999</v>
      </c>
      <c r="R38">
        <v>0.26833754100000001</v>
      </c>
      <c r="S38" t="e">
        <f t="shared" si="1"/>
        <v>#N/A</v>
      </c>
      <c r="T38" s="3">
        <f t="shared" si="0"/>
        <v>0</v>
      </c>
    </row>
    <row r="39" spans="1:20" x14ac:dyDescent="0.3">
      <c r="A39">
        <f>1+A37</f>
        <v>19</v>
      </c>
      <c r="B39" t="s">
        <v>9</v>
      </c>
      <c r="C39" t="s">
        <v>30</v>
      </c>
      <c r="D39" t="s">
        <v>11</v>
      </c>
      <c r="E39" t="s">
        <v>34</v>
      </c>
      <c r="F39" s="2">
        <v>144</v>
      </c>
      <c r="G39">
        <v>5719</v>
      </c>
      <c r="H39">
        <v>10</v>
      </c>
      <c r="I39">
        <v>1224.24714964292</v>
      </c>
      <c r="J39">
        <v>2.756479099844E-2</v>
      </c>
      <c r="K39">
        <v>5912</v>
      </c>
      <c r="L39">
        <v>3</v>
      </c>
      <c r="M39">
        <v>1330.1417823788099</v>
      </c>
      <c r="N39">
        <v>1.36344999991706E-2</v>
      </c>
      <c r="O39">
        <v>400</v>
      </c>
      <c r="P39">
        <v>9</v>
      </c>
      <c r="Q39">
        <v>1238.1691370000001</v>
      </c>
      <c r="R39">
        <v>0.32104945800000001</v>
      </c>
      <c r="S39" t="e">
        <f t="shared" si="1"/>
        <v>#N/A</v>
      </c>
      <c r="T39" s="3">
        <f t="shared" si="0"/>
        <v>0</v>
      </c>
    </row>
    <row r="40" spans="1:20" x14ac:dyDescent="0.3">
      <c r="B40" t="s">
        <v>9</v>
      </c>
      <c r="C40" t="s">
        <v>30</v>
      </c>
      <c r="D40" t="s">
        <v>13</v>
      </c>
      <c r="E40" t="s">
        <v>34</v>
      </c>
      <c r="F40" s="2">
        <v>144</v>
      </c>
      <c r="G40">
        <v>5719</v>
      </c>
      <c r="H40">
        <v>10</v>
      </c>
      <c r="I40">
        <v>1078.6126808198601</v>
      </c>
      <c r="J40">
        <v>3.2548041999689303E-2</v>
      </c>
      <c r="K40">
        <v>673</v>
      </c>
      <c r="L40">
        <v>3</v>
      </c>
      <c r="M40">
        <v>738.17384405829603</v>
      </c>
      <c r="N40">
        <v>2.2894169997016E-3</v>
      </c>
      <c r="O40">
        <v>400</v>
      </c>
      <c r="P40">
        <v>5</v>
      </c>
      <c r="Q40">
        <v>922.74193920000005</v>
      </c>
      <c r="R40">
        <v>0.29528650000000001</v>
      </c>
      <c r="S40" t="e">
        <f t="shared" si="1"/>
        <v>#N/A</v>
      </c>
      <c r="T40" s="3">
        <f t="shared" si="0"/>
        <v>0</v>
      </c>
    </row>
    <row r="41" spans="1:20" x14ac:dyDescent="0.3">
      <c r="A41">
        <f>1+A39</f>
        <v>20</v>
      </c>
      <c r="B41" t="s">
        <v>9</v>
      </c>
      <c r="C41" t="s">
        <v>30</v>
      </c>
      <c r="D41" t="s">
        <v>11</v>
      </c>
      <c r="E41" t="s">
        <v>35</v>
      </c>
      <c r="F41" s="2">
        <v>144</v>
      </c>
      <c r="G41">
        <v>5719</v>
      </c>
      <c r="H41">
        <v>10</v>
      </c>
      <c r="I41">
        <v>1772.64692567458</v>
      </c>
      <c r="J41">
        <v>2.7402125000662601E-2</v>
      </c>
      <c r="K41">
        <v>1685</v>
      </c>
      <c r="L41">
        <v>1</v>
      </c>
      <c r="M41">
        <v>1906.9925842160401</v>
      </c>
      <c r="N41">
        <v>3.7944169998809E-3</v>
      </c>
      <c r="O41">
        <v>400</v>
      </c>
      <c r="P41">
        <v>11</v>
      </c>
      <c r="Q41">
        <v>1781.3594330000001</v>
      </c>
      <c r="R41">
        <v>0.24276962499999999</v>
      </c>
      <c r="S41" t="e">
        <f t="shared" si="1"/>
        <v>#N/A</v>
      </c>
      <c r="T41" s="3">
        <f t="shared" si="0"/>
        <v>0</v>
      </c>
    </row>
    <row r="42" spans="1:20" x14ac:dyDescent="0.3">
      <c r="B42" t="s">
        <v>9</v>
      </c>
      <c r="C42" t="s">
        <v>30</v>
      </c>
      <c r="D42" t="s">
        <v>13</v>
      </c>
      <c r="E42" t="s">
        <v>35</v>
      </c>
      <c r="F42" s="2">
        <v>144</v>
      </c>
      <c r="G42">
        <v>5719</v>
      </c>
      <c r="H42">
        <v>10</v>
      </c>
      <c r="I42">
        <v>8266.2910878946295</v>
      </c>
      <c r="J42">
        <v>3.3596290999412297E-2</v>
      </c>
      <c r="K42">
        <v>266</v>
      </c>
      <c r="L42">
        <v>1</v>
      </c>
      <c r="M42">
        <v>2565.90485283527</v>
      </c>
      <c r="N42">
        <v>9.8858300043500004E-4</v>
      </c>
      <c r="O42">
        <v>400</v>
      </c>
      <c r="P42">
        <v>5</v>
      </c>
      <c r="Q42">
        <v>6287.9108729999998</v>
      </c>
      <c r="R42">
        <v>0.20670137499999999</v>
      </c>
      <c r="S42" t="e">
        <f t="shared" si="1"/>
        <v>#N/A</v>
      </c>
      <c r="T42" s="3">
        <f t="shared" si="0"/>
        <v>0</v>
      </c>
    </row>
    <row r="43" spans="1:20" x14ac:dyDescent="0.3">
      <c r="A43">
        <f>1+A41</f>
        <v>21</v>
      </c>
      <c r="B43" t="s">
        <v>9</v>
      </c>
      <c r="C43" t="s">
        <v>36</v>
      </c>
      <c r="D43" t="s">
        <v>11</v>
      </c>
      <c r="E43" t="s">
        <v>37</v>
      </c>
      <c r="F43" s="2">
        <v>126</v>
      </c>
      <c r="G43">
        <v>3658</v>
      </c>
      <c r="H43">
        <v>10</v>
      </c>
      <c r="I43">
        <v>1504.0408442484299</v>
      </c>
      <c r="J43">
        <v>1.81087919991114E-2</v>
      </c>
      <c r="K43">
        <v>2793</v>
      </c>
      <c r="L43">
        <v>1</v>
      </c>
      <c r="M43">
        <v>1577.0242400668201</v>
      </c>
      <c r="N43">
        <v>6.1050830008752997E-3</v>
      </c>
      <c r="O43">
        <v>400</v>
      </c>
      <c r="P43">
        <v>4</v>
      </c>
      <c r="Q43">
        <v>1531.623904</v>
      </c>
      <c r="R43">
        <v>0.25072962500000001</v>
      </c>
      <c r="S43" t="e">
        <f t="shared" si="1"/>
        <v>#N/A</v>
      </c>
      <c r="T43" s="3">
        <f t="shared" si="0"/>
        <v>0</v>
      </c>
    </row>
    <row r="44" spans="1:20" x14ac:dyDescent="0.3">
      <c r="B44" t="s">
        <v>9</v>
      </c>
      <c r="C44" t="s">
        <v>36</v>
      </c>
      <c r="D44" t="s">
        <v>13</v>
      </c>
      <c r="E44" t="s">
        <v>37</v>
      </c>
      <c r="F44" s="2">
        <v>126</v>
      </c>
      <c r="G44">
        <v>3658</v>
      </c>
      <c r="H44">
        <v>10</v>
      </c>
      <c r="I44">
        <v>6192.1376404333596</v>
      </c>
      <c r="J44">
        <v>1.9940916998166299E-2</v>
      </c>
      <c r="K44">
        <v>230</v>
      </c>
      <c r="L44">
        <v>1</v>
      </c>
      <c r="M44">
        <v>1721.9801532982001</v>
      </c>
      <c r="N44">
        <v>8.3629099754029999E-4</v>
      </c>
      <c r="O44">
        <v>400</v>
      </c>
      <c r="P44">
        <v>1</v>
      </c>
      <c r="Q44">
        <v>1721.980153</v>
      </c>
      <c r="R44">
        <v>7.7684166999999998E-2</v>
      </c>
      <c r="S44" t="e">
        <f t="shared" si="1"/>
        <v>#N/A</v>
      </c>
      <c r="T44" s="3">
        <f t="shared" si="0"/>
        <v>0</v>
      </c>
    </row>
    <row r="45" spans="1:20" x14ac:dyDescent="0.3">
      <c r="A45">
        <f>1+A43</f>
        <v>22</v>
      </c>
      <c r="B45" t="s">
        <v>9</v>
      </c>
      <c r="C45" t="s">
        <v>36</v>
      </c>
      <c r="D45" t="s">
        <v>11</v>
      </c>
      <c r="E45" t="s">
        <v>38</v>
      </c>
      <c r="F45" s="2">
        <v>69</v>
      </c>
      <c r="G45">
        <v>138</v>
      </c>
      <c r="H45">
        <v>8</v>
      </c>
      <c r="I45">
        <v>915.65599004713397</v>
      </c>
      <c r="J45">
        <v>5.99291997787E-4</v>
      </c>
      <c r="K45">
        <v>817</v>
      </c>
      <c r="L45">
        <v>1</v>
      </c>
      <c r="M45">
        <v>941.65966425305203</v>
      </c>
      <c r="N45">
        <v>1.8467089976184001E-3</v>
      </c>
      <c r="O45">
        <v>400</v>
      </c>
      <c r="P45">
        <v>2</v>
      </c>
      <c r="Q45">
        <v>924.19287829999996</v>
      </c>
      <c r="R45">
        <v>7.3187166999999997E-2</v>
      </c>
      <c r="S45" t="e">
        <f t="shared" si="1"/>
        <v>#N/A</v>
      </c>
      <c r="T45" s="3">
        <f t="shared" si="0"/>
        <v>0</v>
      </c>
    </row>
    <row r="46" spans="1:20" x14ac:dyDescent="0.3">
      <c r="B46" t="s">
        <v>9</v>
      </c>
      <c r="C46" t="s">
        <v>36</v>
      </c>
      <c r="D46" t="s">
        <v>13</v>
      </c>
      <c r="E46" t="s">
        <v>38</v>
      </c>
      <c r="F46" s="2">
        <v>69</v>
      </c>
      <c r="G46">
        <v>138</v>
      </c>
      <c r="H46">
        <v>8</v>
      </c>
      <c r="I46">
        <v>9294.7312133150808</v>
      </c>
      <c r="J46">
        <v>7.5995800216329995E-4</v>
      </c>
      <c r="K46">
        <v>116</v>
      </c>
      <c r="L46">
        <v>1</v>
      </c>
      <c r="M46">
        <v>2573.8596853130598</v>
      </c>
      <c r="N46">
        <v>4.4154200077169999E-4</v>
      </c>
      <c r="O46">
        <v>400</v>
      </c>
      <c r="P46">
        <v>1</v>
      </c>
      <c r="Q46">
        <v>2573.8596849999999</v>
      </c>
      <c r="R46">
        <v>3.7227916999999999E-2</v>
      </c>
      <c r="S46" t="e">
        <f t="shared" si="1"/>
        <v>#N/A</v>
      </c>
      <c r="T46" s="3">
        <f t="shared" si="0"/>
        <v>0</v>
      </c>
    </row>
    <row r="47" spans="1:20" x14ac:dyDescent="0.3">
      <c r="A47">
        <f>1+A45</f>
        <v>23</v>
      </c>
      <c r="B47" t="s">
        <v>9</v>
      </c>
      <c r="C47" t="s">
        <v>36</v>
      </c>
      <c r="D47" t="s">
        <v>11</v>
      </c>
      <c r="E47" t="s">
        <v>39</v>
      </c>
      <c r="F47" s="2">
        <v>69</v>
      </c>
      <c r="G47">
        <v>138</v>
      </c>
      <c r="H47">
        <v>8</v>
      </c>
      <c r="I47">
        <v>847.27541123226297</v>
      </c>
      <c r="J47">
        <v>6.0850000227210003E-4</v>
      </c>
      <c r="K47">
        <v>161</v>
      </c>
      <c r="L47">
        <v>1</v>
      </c>
      <c r="M47">
        <v>856.00637356914899</v>
      </c>
      <c r="N47">
        <v>4.1924999823090002E-4</v>
      </c>
      <c r="O47">
        <v>400</v>
      </c>
      <c r="P47">
        <v>1</v>
      </c>
      <c r="Q47">
        <v>856.00637359999996</v>
      </c>
      <c r="R47">
        <v>4.1205832999999997E-2</v>
      </c>
      <c r="S47" t="e">
        <f t="shared" si="1"/>
        <v>#N/A</v>
      </c>
      <c r="T47" s="3">
        <f t="shared" si="0"/>
        <v>0</v>
      </c>
    </row>
    <row r="48" spans="1:20" x14ac:dyDescent="0.3">
      <c r="B48" t="s">
        <v>9</v>
      </c>
      <c r="C48" t="s">
        <v>36</v>
      </c>
      <c r="D48" t="s">
        <v>13</v>
      </c>
      <c r="E48" t="s">
        <v>39</v>
      </c>
      <c r="F48" s="2">
        <v>69</v>
      </c>
      <c r="G48">
        <v>138</v>
      </c>
      <c r="H48">
        <v>8</v>
      </c>
      <c r="I48">
        <v>5267.6314341116204</v>
      </c>
      <c r="J48">
        <v>7.6216699744690003E-4</v>
      </c>
      <c r="K48">
        <v>116</v>
      </c>
      <c r="L48">
        <v>1</v>
      </c>
      <c r="M48">
        <v>1383.65780503832</v>
      </c>
      <c r="N48">
        <v>4.422079982759E-4</v>
      </c>
      <c r="O48">
        <v>400</v>
      </c>
      <c r="P48">
        <v>1</v>
      </c>
      <c r="Q48">
        <v>1383.6578050000001</v>
      </c>
      <c r="R48">
        <v>3.8839249999999999E-2</v>
      </c>
      <c r="S48" t="e">
        <f t="shared" si="1"/>
        <v>#N/A</v>
      </c>
      <c r="T48" s="3">
        <f t="shared" si="0"/>
        <v>0</v>
      </c>
    </row>
    <row r="49" spans="1:20" x14ac:dyDescent="0.3">
      <c r="A49">
        <f>1+A47</f>
        <v>24</v>
      </c>
      <c r="B49" t="s">
        <v>9</v>
      </c>
      <c r="C49" t="s">
        <v>36</v>
      </c>
      <c r="D49" t="s">
        <v>11</v>
      </c>
      <c r="E49" t="s">
        <v>40</v>
      </c>
      <c r="F49" s="2">
        <v>69</v>
      </c>
      <c r="G49">
        <v>138</v>
      </c>
      <c r="H49">
        <v>8</v>
      </c>
      <c r="I49">
        <v>977.61732862096596</v>
      </c>
      <c r="J49">
        <v>6.4137499794010002E-4</v>
      </c>
      <c r="K49">
        <v>335</v>
      </c>
      <c r="L49">
        <v>1</v>
      </c>
      <c r="M49">
        <v>993.84988286398197</v>
      </c>
      <c r="N49">
        <v>7.955410001159E-4</v>
      </c>
      <c r="O49">
        <v>400</v>
      </c>
      <c r="P49">
        <v>1</v>
      </c>
      <c r="Q49">
        <v>993.84988290000001</v>
      </c>
      <c r="R49">
        <v>4.2024541999999998E-2</v>
      </c>
      <c r="S49" t="e">
        <f t="shared" si="1"/>
        <v>#N/A</v>
      </c>
      <c r="T49" s="3">
        <f t="shared" si="0"/>
        <v>0</v>
      </c>
    </row>
    <row r="50" spans="1:20" x14ac:dyDescent="0.3">
      <c r="B50" t="s">
        <v>9</v>
      </c>
      <c r="C50" t="s">
        <v>36</v>
      </c>
      <c r="D50" t="s">
        <v>13</v>
      </c>
      <c r="E50" t="s">
        <v>40</v>
      </c>
      <c r="F50" s="2">
        <v>69</v>
      </c>
      <c r="G50">
        <v>138</v>
      </c>
      <c r="H50">
        <v>8</v>
      </c>
      <c r="I50">
        <v>13797.274495980701</v>
      </c>
      <c r="J50">
        <v>7.5854099850400001E-4</v>
      </c>
      <c r="K50">
        <v>116</v>
      </c>
      <c r="L50">
        <v>1</v>
      </c>
      <c r="M50">
        <v>3756.9091520300099</v>
      </c>
      <c r="N50">
        <v>4.4304200127949999E-4</v>
      </c>
      <c r="O50">
        <v>400</v>
      </c>
      <c r="P50">
        <v>1</v>
      </c>
      <c r="Q50">
        <v>3756.9091520000002</v>
      </c>
      <c r="R50">
        <v>3.9089875000000003E-2</v>
      </c>
      <c r="S50" t="e">
        <f t="shared" si="1"/>
        <v>#N/A</v>
      </c>
      <c r="T50" s="3">
        <f t="shared" si="0"/>
        <v>0</v>
      </c>
    </row>
    <row r="51" spans="1:20" x14ac:dyDescent="0.3">
      <c r="A51">
        <f>1+A49</f>
        <v>25</v>
      </c>
      <c r="B51" t="s">
        <v>9</v>
      </c>
      <c r="C51" t="s">
        <v>36</v>
      </c>
      <c r="D51" t="s">
        <v>11</v>
      </c>
      <c r="E51" t="s">
        <v>41</v>
      </c>
      <c r="F51" s="2">
        <v>126</v>
      </c>
      <c r="G51">
        <v>3658</v>
      </c>
      <c r="H51">
        <v>10</v>
      </c>
      <c r="I51">
        <v>1375.4809083596399</v>
      </c>
      <c r="J51">
        <v>1.6753916999732599E-2</v>
      </c>
      <c r="K51">
        <v>2717</v>
      </c>
      <c r="L51">
        <v>2</v>
      </c>
      <c r="M51">
        <v>1438.38251392148</v>
      </c>
      <c r="N51">
        <v>5.9292910009388997E-3</v>
      </c>
      <c r="O51">
        <v>400</v>
      </c>
      <c r="P51">
        <v>6</v>
      </c>
      <c r="Q51">
        <v>1398.884978</v>
      </c>
      <c r="R51">
        <v>0.19315825</v>
      </c>
      <c r="S51" t="e">
        <f t="shared" si="1"/>
        <v>#N/A</v>
      </c>
      <c r="T51" s="3">
        <f t="shared" si="0"/>
        <v>0</v>
      </c>
    </row>
    <row r="52" spans="1:20" x14ac:dyDescent="0.3">
      <c r="B52" t="s">
        <v>9</v>
      </c>
      <c r="C52" t="s">
        <v>36</v>
      </c>
      <c r="D52" t="s">
        <v>13</v>
      </c>
      <c r="E52" t="s">
        <v>41</v>
      </c>
      <c r="F52" s="2">
        <v>126</v>
      </c>
      <c r="G52">
        <v>3658</v>
      </c>
      <c r="H52">
        <v>10</v>
      </c>
      <c r="I52">
        <v>3692.7733124349002</v>
      </c>
      <c r="J52">
        <v>1.9919250000384602E-2</v>
      </c>
      <c r="K52">
        <v>230</v>
      </c>
      <c r="L52">
        <v>1</v>
      </c>
      <c r="M52">
        <v>1575.1076738931199</v>
      </c>
      <c r="N52">
        <v>8.2091600052079997E-4</v>
      </c>
      <c r="O52">
        <v>400</v>
      </c>
      <c r="P52">
        <v>1</v>
      </c>
      <c r="Q52">
        <v>1575.1076740000001</v>
      </c>
      <c r="R52">
        <v>7.217875E-2</v>
      </c>
      <c r="S52" t="e">
        <f t="shared" si="1"/>
        <v>#N/A</v>
      </c>
      <c r="T52" s="3">
        <f t="shared" si="0"/>
        <v>0</v>
      </c>
    </row>
    <row r="53" spans="1:20" x14ac:dyDescent="0.3">
      <c r="A53">
        <f>1+A51</f>
        <v>26</v>
      </c>
      <c r="B53" t="s">
        <v>9</v>
      </c>
      <c r="C53" t="s">
        <v>42</v>
      </c>
      <c r="D53" t="s">
        <v>11</v>
      </c>
      <c r="E53" t="s">
        <v>43</v>
      </c>
      <c r="F53" s="2">
        <v>71</v>
      </c>
      <c r="G53">
        <v>232</v>
      </c>
      <c r="H53">
        <v>8</v>
      </c>
      <c r="I53">
        <v>450.43785842526103</v>
      </c>
      <c r="J53">
        <v>9.1275000158930002E-4</v>
      </c>
      <c r="K53">
        <v>1156</v>
      </c>
      <c r="L53">
        <v>4</v>
      </c>
      <c r="M53">
        <v>500.57053026950302</v>
      </c>
      <c r="N53">
        <v>2.6916669994533999E-3</v>
      </c>
      <c r="O53">
        <v>400</v>
      </c>
      <c r="P53">
        <v>6</v>
      </c>
      <c r="Q53">
        <v>458.52154839999997</v>
      </c>
      <c r="R53">
        <v>0.111829292</v>
      </c>
      <c r="S53" t="e">
        <f t="shared" si="1"/>
        <v>#N/A</v>
      </c>
      <c r="T53" s="3">
        <f t="shared" si="0"/>
        <v>0</v>
      </c>
    </row>
    <row r="54" spans="1:20" x14ac:dyDescent="0.3">
      <c r="B54" t="s">
        <v>9</v>
      </c>
      <c r="C54" t="s">
        <v>42</v>
      </c>
      <c r="D54" t="s">
        <v>13</v>
      </c>
      <c r="E54" t="s">
        <v>43</v>
      </c>
      <c r="F54" s="2">
        <v>71</v>
      </c>
      <c r="G54">
        <v>232</v>
      </c>
      <c r="H54">
        <v>8</v>
      </c>
      <c r="I54">
        <v>271.72625137994999</v>
      </c>
      <c r="J54">
        <v>1.1668750012176999E-3</v>
      </c>
      <c r="K54">
        <v>549</v>
      </c>
      <c r="L54">
        <v>4</v>
      </c>
      <c r="M54">
        <v>250.035027410873</v>
      </c>
      <c r="N54">
        <v>1.8828339998435001E-3</v>
      </c>
      <c r="O54">
        <v>400</v>
      </c>
      <c r="P54">
        <v>6</v>
      </c>
      <c r="Q54">
        <v>248.99053029999999</v>
      </c>
      <c r="R54">
        <v>0.115326583</v>
      </c>
      <c r="S54" t="e">
        <f t="shared" si="1"/>
        <v>#N/A</v>
      </c>
      <c r="T54" s="3">
        <f t="shared" si="0"/>
        <v>0</v>
      </c>
    </row>
    <row r="55" spans="1:20" x14ac:dyDescent="0.3">
      <c r="A55">
        <f>1+A53</f>
        <v>27</v>
      </c>
      <c r="B55" t="s">
        <v>9</v>
      </c>
      <c r="C55" t="s">
        <v>42</v>
      </c>
      <c r="D55" t="s">
        <v>11</v>
      </c>
      <c r="E55" t="s">
        <v>44</v>
      </c>
      <c r="F55" s="2">
        <v>71</v>
      </c>
      <c r="G55">
        <v>232</v>
      </c>
      <c r="H55">
        <v>8</v>
      </c>
      <c r="I55">
        <v>387.41182708830797</v>
      </c>
      <c r="J55">
        <v>9.5399999918290002E-4</v>
      </c>
      <c r="K55">
        <v>1503</v>
      </c>
      <c r="L55">
        <v>2</v>
      </c>
      <c r="M55">
        <v>458.27952521002197</v>
      </c>
      <c r="N55">
        <v>3.4274579993506999E-3</v>
      </c>
      <c r="O55">
        <v>400</v>
      </c>
      <c r="P55">
        <v>4</v>
      </c>
      <c r="Q55">
        <v>396.58083370000003</v>
      </c>
      <c r="R55">
        <v>9.1420165999999997E-2</v>
      </c>
      <c r="S55" t="e">
        <f t="shared" si="1"/>
        <v>#N/A</v>
      </c>
      <c r="T55" s="3">
        <f t="shared" si="0"/>
        <v>0</v>
      </c>
    </row>
    <row r="56" spans="1:20" x14ac:dyDescent="0.3">
      <c r="B56" t="s">
        <v>9</v>
      </c>
      <c r="C56" t="s">
        <v>42</v>
      </c>
      <c r="D56" t="s">
        <v>13</v>
      </c>
      <c r="E56" t="s">
        <v>44</v>
      </c>
      <c r="F56" s="2">
        <v>71</v>
      </c>
      <c r="G56">
        <v>232</v>
      </c>
      <c r="H56">
        <v>8</v>
      </c>
      <c r="I56">
        <v>174.85904363746499</v>
      </c>
      <c r="J56">
        <v>1.1910000030184E-3</v>
      </c>
      <c r="K56">
        <v>298</v>
      </c>
      <c r="L56">
        <v>1</v>
      </c>
      <c r="M56">
        <v>149.346793825562</v>
      </c>
      <c r="N56">
        <v>1.0329159995308001E-3</v>
      </c>
      <c r="O56">
        <v>400</v>
      </c>
      <c r="P56">
        <v>3</v>
      </c>
      <c r="Q56">
        <v>122.86890579999999</v>
      </c>
      <c r="R56">
        <v>7.8427790999999997E-2</v>
      </c>
      <c r="S56" t="e">
        <f t="shared" si="1"/>
        <v>#N/A</v>
      </c>
      <c r="T56" s="3">
        <f t="shared" si="0"/>
        <v>0</v>
      </c>
    </row>
    <row r="57" spans="1:20" x14ac:dyDescent="0.3">
      <c r="A57">
        <f>1+A55</f>
        <v>28</v>
      </c>
      <c r="B57" t="s">
        <v>9</v>
      </c>
      <c r="C57" t="s">
        <v>42</v>
      </c>
      <c r="D57" t="s">
        <v>11</v>
      </c>
      <c r="E57" t="s">
        <v>45</v>
      </c>
      <c r="F57" s="2">
        <v>71</v>
      </c>
      <c r="G57">
        <v>232</v>
      </c>
      <c r="H57">
        <v>8</v>
      </c>
      <c r="I57">
        <v>459.96076712762903</v>
      </c>
      <c r="J57">
        <v>9.107500009122E-4</v>
      </c>
      <c r="K57">
        <v>1167</v>
      </c>
      <c r="L57">
        <v>4</v>
      </c>
      <c r="M57">
        <v>509.03530897036501</v>
      </c>
      <c r="N57">
        <v>2.7241669995418999E-3</v>
      </c>
      <c r="O57">
        <v>400</v>
      </c>
      <c r="P57">
        <v>6</v>
      </c>
      <c r="Q57">
        <v>464.48279769999999</v>
      </c>
      <c r="R57">
        <v>8.1209166999999999E-2</v>
      </c>
      <c r="S57" t="e">
        <f t="shared" si="1"/>
        <v>#N/A</v>
      </c>
      <c r="T57" s="3">
        <f t="shared" si="0"/>
        <v>0</v>
      </c>
    </row>
    <row r="58" spans="1:20" x14ac:dyDescent="0.3">
      <c r="B58" t="s">
        <v>9</v>
      </c>
      <c r="C58" t="s">
        <v>42</v>
      </c>
      <c r="D58" t="s">
        <v>13</v>
      </c>
      <c r="E58" t="s">
        <v>45</v>
      </c>
      <c r="F58" s="2">
        <v>71</v>
      </c>
      <c r="G58">
        <v>232</v>
      </c>
      <c r="H58">
        <v>8</v>
      </c>
      <c r="I58">
        <v>324.781787051685</v>
      </c>
      <c r="J58">
        <v>1.1666669997793999E-3</v>
      </c>
      <c r="K58">
        <v>426</v>
      </c>
      <c r="L58">
        <v>2</v>
      </c>
      <c r="M58">
        <v>333.51694371782003</v>
      </c>
      <c r="N58">
        <v>1.4474999989033E-3</v>
      </c>
      <c r="O58">
        <v>400</v>
      </c>
      <c r="P58">
        <v>5</v>
      </c>
      <c r="Q58">
        <v>286.48435180000001</v>
      </c>
      <c r="R58">
        <v>7.5956250000000003E-2</v>
      </c>
      <c r="S58" t="e">
        <f t="shared" si="1"/>
        <v>#N/A</v>
      </c>
      <c r="T58" s="3">
        <f t="shared" si="0"/>
        <v>0</v>
      </c>
    </row>
    <row r="59" spans="1:20" x14ac:dyDescent="0.3">
      <c r="A59">
        <f>1+A57</f>
        <v>29</v>
      </c>
      <c r="B59" t="s">
        <v>9</v>
      </c>
      <c r="C59" t="s">
        <v>42</v>
      </c>
      <c r="D59" t="s">
        <v>11</v>
      </c>
      <c r="E59" t="s">
        <v>46</v>
      </c>
      <c r="F59" s="2">
        <v>71</v>
      </c>
      <c r="G59">
        <v>232</v>
      </c>
      <c r="H59">
        <v>8</v>
      </c>
      <c r="I59">
        <v>540.53443981439204</v>
      </c>
      <c r="J59">
        <v>9.4291600180439997E-4</v>
      </c>
      <c r="K59">
        <v>1525</v>
      </c>
      <c r="L59">
        <v>3</v>
      </c>
      <c r="M59">
        <v>596.302177540564</v>
      </c>
      <c r="N59">
        <v>3.3552499990036999E-3</v>
      </c>
      <c r="O59">
        <v>400</v>
      </c>
      <c r="P59">
        <v>5</v>
      </c>
      <c r="Q59">
        <v>581.64616479999995</v>
      </c>
      <c r="R59">
        <v>9.4903625000000005E-2</v>
      </c>
      <c r="S59" t="e">
        <f t="shared" si="1"/>
        <v>#N/A</v>
      </c>
      <c r="T59" s="3">
        <f t="shared" si="0"/>
        <v>0</v>
      </c>
    </row>
    <row r="60" spans="1:20" x14ac:dyDescent="0.3">
      <c r="B60" t="s">
        <v>9</v>
      </c>
      <c r="C60" t="s">
        <v>42</v>
      </c>
      <c r="D60" t="s">
        <v>13</v>
      </c>
      <c r="E60" t="s">
        <v>46</v>
      </c>
      <c r="F60" s="2">
        <v>71</v>
      </c>
      <c r="G60">
        <v>232</v>
      </c>
      <c r="H60">
        <v>8</v>
      </c>
      <c r="I60">
        <v>582.467984101306</v>
      </c>
      <c r="J60">
        <v>1.1834999968414E-3</v>
      </c>
      <c r="K60">
        <v>145</v>
      </c>
      <c r="L60">
        <v>1</v>
      </c>
      <c r="M60">
        <v>389.84105919088501</v>
      </c>
      <c r="N60">
        <v>5.440000022645E-4</v>
      </c>
      <c r="O60">
        <v>400</v>
      </c>
      <c r="P60">
        <v>4</v>
      </c>
      <c r="Q60">
        <v>426.21792649999998</v>
      </c>
      <c r="R60">
        <v>8.1463041999999999E-2</v>
      </c>
      <c r="S60" t="e">
        <f t="shared" si="1"/>
        <v>#N/A</v>
      </c>
      <c r="T60" s="3">
        <f t="shared" si="0"/>
        <v>0</v>
      </c>
    </row>
    <row r="61" spans="1:20" x14ac:dyDescent="0.3">
      <c r="A61">
        <f>1+A59</f>
        <v>30</v>
      </c>
      <c r="B61" t="s">
        <v>9</v>
      </c>
      <c r="C61" t="s">
        <v>42</v>
      </c>
      <c r="D61" t="s">
        <v>11</v>
      </c>
      <c r="E61" t="s">
        <v>47</v>
      </c>
      <c r="F61" s="2">
        <v>120</v>
      </c>
      <c r="G61">
        <v>3043</v>
      </c>
      <c r="H61">
        <v>10</v>
      </c>
      <c r="I61">
        <v>1786.9845091484799</v>
      </c>
      <c r="J61">
        <v>1.3895042000512999E-2</v>
      </c>
      <c r="K61">
        <v>475</v>
      </c>
      <c r="L61">
        <v>1</v>
      </c>
      <c r="M61">
        <v>1819.1989045335499</v>
      </c>
      <c r="N61">
        <v>1.1417500027164E-3</v>
      </c>
      <c r="O61">
        <v>400</v>
      </c>
      <c r="P61">
        <v>1</v>
      </c>
      <c r="Q61">
        <v>1819.198905</v>
      </c>
      <c r="R61">
        <v>7.5663999999999995E-2</v>
      </c>
      <c r="S61" t="e">
        <f t="shared" si="1"/>
        <v>#N/A</v>
      </c>
      <c r="T61" s="3">
        <f t="shared" si="0"/>
        <v>0</v>
      </c>
    </row>
    <row r="62" spans="1:20" x14ac:dyDescent="0.3">
      <c r="B62" t="s">
        <v>9</v>
      </c>
      <c r="C62" t="s">
        <v>42</v>
      </c>
      <c r="D62" t="s">
        <v>13</v>
      </c>
      <c r="E62" t="s">
        <v>47</v>
      </c>
      <c r="F62" s="2">
        <v>120</v>
      </c>
      <c r="G62">
        <v>3043</v>
      </c>
      <c r="H62">
        <v>10</v>
      </c>
      <c r="I62">
        <v>25665.526661068401</v>
      </c>
      <c r="J62">
        <v>1.63223330018809E-2</v>
      </c>
      <c r="K62">
        <v>218</v>
      </c>
      <c r="L62">
        <v>1</v>
      </c>
      <c r="M62">
        <v>6375.3973951972803</v>
      </c>
      <c r="N62">
        <v>8.0208299914370004E-4</v>
      </c>
      <c r="O62">
        <v>400</v>
      </c>
      <c r="P62">
        <v>1</v>
      </c>
      <c r="Q62">
        <v>6375.397395</v>
      </c>
      <c r="R62">
        <v>6.8933042E-2</v>
      </c>
      <c r="S62" t="e">
        <f t="shared" si="1"/>
        <v>#N/A</v>
      </c>
      <c r="T62" s="3">
        <f t="shared" si="0"/>
        <v>0</v>
      </c>
    </row>
    <row r="63" spans="1:20" x14ac:dyDescent="0.3">
      <c r="A63">
        <f>1+A61</f>
        <v>31</v>
      </c>
      <c r="B63" t="s">
        <v>48</v>
      </c>
      <c r="C63" t="s">
        <v>49</v>
      </c>
      <c r="D63" t="s">
        <v>11</v>
      </c>
      <c r="E63" t="s">
        <v>50</v>
      </c>
      <c r="F63" s="2">
        <v>126</v>
      </c>
      <c r="G63">
        <v>3658</v>
      </c>
      <c r="H63">
        <v>10</v>
      </c>
      <c r="I63">
        <v>1189.48196931864</v>
      </c>
      <c r="J63">
        <v>1.7628333000175099E-2</v>
      </c>
      <c r="K63">
        <v>4071</v>
      </c>
      <c r="L63">
        <v>3</v>
      </c>
      <c r="M63">
        <v>1371.61975136554</v>
      </c>
      <c r="N63">
        <v>9.1243330025463001E-3</v>
      </c>
      <c r="O63">
        <v>400</v>
      </c>
      <c r="P63">
        <v>11</v>
      </c>
      <c r="Q63">
        <v>1196.2922920000001</v>
      </c>
      <c r="R63">
        <v>0.279579458</v>
      </c>
      <c r="S63" t="e">
        <f t="shared" si="1"/>
        <v>#N/A</v>
      </c>
      <c r="T63" s="3">
        <f t="shared" si="0"/>
        <v>0</v>
      </c>
    </row>
    <row r="64" spans="1:20" x14ac:dyDescent="0.3">
      <c r="B64" t="s">
        <v>48</v>
      </c>
      <c r="C64" t="s">
        <v>49</v>
      </c>
      <c r="D64" t="s">
        <v>13</v>
      </c>
      <c r="E64" t="s">
        <v>50</v>
      </c>
      <c r="F64" s="2">
        <v>126</v>
      </c>
      <c r="G64">
        <v>3658</v>
      </c>
      <c r="H64">
        <v>10</v>
      </c>
      <c r="I64">
        <v>1816.1095944292999</v>
      </c>
      <c r="J64">
        <v>1.9717125000170199E-2</v>
      </c>
      <c r="K64">
        <v>370</v>
      </c>
      <c r="L64">
        <v>10</v>
      </c>
      <c r="M64">
        <v>1844.5419739732099</v>
      </c>
      <c r="N64">
        <v>1.3232499986769999E-3</v>
      </c>
      <c r="O64">
        <v>400</v>
      </c>
      <c r="P64">
        <v>11</v>
      </c>
      <c r="Q64">
        <v>2242.784819</v>
      </c>
      <c r="R64">
        <v>0.248732958</v>
      </c>
      <c r="S64" t="e">
        <f t="shared" si="1"/>
        <v>#N/A</v>
      </c>
      <c r="T64" s="3">
        <f t="shared" si="0"/>
        <v>1</v>
      </c>
    </row>
    <row r="65" spans="1:23" x14ac:dyDescent="0.3">
      <c r="A65">
        <f>1+A63</f>
        <v>32</v>
      </c>
      <c r="B65" t="s">
        <v>48</v>
      </c>
      <c r="C65" t="s">
        <v>49</v>
      </c>
      <c r="D65" t="s">
        <v>11</v>
      </c>
      <c r="E65" t="s">
        <v>51</v>
      </c>
      <c r="F65" s="2">
        <v>111</v>
      </c>
      <c r="G65">
        <v>2188</v>
      </c>
      <c r="H65">
        <v>10</v>
      </c>
      <c r="I65">
        <v>1300.28079069093</v>
      </c>
      <c r="J65">
        <v>9.6200829975714008E-3</v>
      </c>
      <c r="K65">
        <v>2647</v>
      </c>
      <c r="L65">
        <v>5</v>
      </c>
      <c r="M65">
        <v>1412.4797426438799</v>
      </c>
      <c r="N65">
        <v>6.0197079983481004E-3</v>
      </c>
      <c r="O65">
        <v>400</v>
      </c>
      <c r="P65">
        <v>8</v>
      </c>
      <c r="Q65">
        <v>1375.9214919999999</v>
      </c>
      <c r="R65">
        <v>0.210171834</v>
      </c>
      <c r="S65" t="e">
        <f t="shared" si="1"/>
        <v>#N/A</v>
      </c>
      <c r="T65" s="3">
        <f t="shared" si="0"/>
        <v>0</v>
      </c>
    </row>
    <row r="66" spans="1:23" x14ac:dyDescent="0.3">
      <c r="B66" t="s">
        <v>48</v>
      </c>
      <c r="C66" t="s">
        <v>49</v>
      </c>
      <c r="D66" t="s">
        <v>13</v>
      </c>
      <c r="E66" t="s">
        <v>51</v>
      </c>
      <c r="F66" s="2">
        <v>111</v>
      </c>
      <c r="G66">
        <v>2188</v>
      </c>
      <c r="H66">
        <v>10</v>
      </c>
      <c r="I66">
        <v>8339.3476283102991</v>
      </c>
      <c r="J66">
        <v>1.1470833000203099E-2</v>
      </c>
      <c r="K66">
        <v>249</v>
      </c>
      <c r="L66">
        <v>8</v>
      </c>
      <c r="M66">
        <v>8550.9459509256194</v>
      </c>
      <c r="N66">
        <v>9.0383300266689995E-4</v>
      </c>
      <c r="O66">
        <v>400</v>
      </c>
      <c r="P66">
        <v>9</v>
      </c>
      <c r="Q66">
        <v>8815.9252749999996</v>
      </c>
      <c r="R66">
        <v>0.204852958</v>
      </c>
      <c r="S66" t="e">
        <f t="shared" si="1"/>
        <v>#N/A</v>
      </c>
      <c r="T66" s="3">
        <f t="shared" si="0"/>
        <v>0</v>
      </c>
    </row>
    <row r="67" spans="1:23" x14ac:dyDescent="0.3">
      <c r="A67">
        <f>1+A65</f>
        <v>33</v>
      </c>
      <c r="B67" t="s">
        <v>48</v>
      </c>
      <c r="C67" t="s">
        <v>49</v>
      </c>
      <c r="D67" t="s">
        <v>11</v>
      </c>
      <c r="E67" t="s">
        <v>52</v>
      </c>
      <c r="F67" s="2">
        <v>115</v>
      </c>
      <c r="G67">
        <v>2558</v>
      </c>
      <c r="H67">
        <v>10</v>
      </c>
      <c r="I67">
        <v>931.723500984363</v>
      </c>
      <c r="J67">
        <v>1.1154542000440399E-2</v>
      </c>
      <c r="K67">
        <v>2394</v>
      </c>
      <c r="L67">
        <v>2</v>
      </c>
      <c r="M67">
        <v>985.39166772190197</v>
      </c>
      <c r="N67">
        <v>5.3585839996229999E-3</v>
      </c>
      <c r="O67">
        <v>400</v>
      </c>
      <c r="P67">
        <v>5</v>
      </c>
      <c r="Q67">
        <v>958.25285529999996</v>
      </c>
      <c r="R67">
        <v>0.15496337499999999</v>
      </c>
      <c r="S67" t="e">
        <f t="shared" si="1"/>
        <v>#N/A</v>
      </c>
      <c r="T67" s="3">
        <f t="shared" ref="T67:T130" si="2">IF(H67=L67,1,0)</f>
        <v>0</v>
      </c>
    </row>
    <row r="68" spans="1:23" x14ac:dyDescent="0.3">
      <c r="B68" t="s">
        <v>48</v>
      </c>
      <c r="C68" t="s">
        <v>49</v>
      </c>
      <c r="D68" t="s">
        <v>13</v>
      </c>
      <c r="E68" t="s">
        <v>52</v>
      </c>
      <c r="F68" s="2">
        <v>115</v>
      </c>
      <c r="G68">
        <v>2558</v>
      </c>
      <c r="H68">
        <v>10</v>
      </c>
      <c r="I68">
        <v>884.22853076285003</v>
      </c>
      <c r="J68">
        <v>1.35858749999897E-2</v>
      </c>
      <c r="K68">
        <v>208</v>
      </c>
      <c r="L68">
        <v>1</v>
      </c>
      <c r="M68">
        <v>334.41516277367703</v>
      </c>
      <c r="N68">
        <v>7.6320800144450004E-4</v>
      </c>
      <c r="O68">
        <v>400</v>
      </c>
      <c r="P68">
        <v>1</v>
      </c>
      <c r="Q68">
        <v>334.41516280000002</v>
      </c>
      <c r="R68">
        <v>6.6603334E-2</v>
      </c>
      <c r="S68" t="e">
        <f t="shared" ref="S68:S131" si="3">IF(P68=H68,(Q68-I68)/I68,NA())</f>
        <v>#N/A</v>
      </c>
      <c r="T68" s="3">
        <f t="shared" si="2"/>
        <v>0</v>
      </c>
    </row>
    <row r="69" spans="1:23" x14ac:dyDescent="0.3">
      <c r="A69">
        <f>1+A67</f>
        <v>34</v>
      </c>
      <c r="B69" t="s">
        <v>48</v>
      </c>
      <c r="C69" t="s">
        <v>49</v>
      </c>
      <c r="D69" t="s">
        <v>11</v>
      </c>
      <c r="E69" t="s">
        <v>53</v>
      </c>
      <c r="F69" s="2">
        <v>122</v>
      </c>
      <c r="G69">
        <v>3244</v>
      </c>
      <c r="H69">
        <v>10</v>
      </c>
      <c r="I69">
        <v>1238.03234706644</v>
      </c>
      <c r="J69">
        <v>1.4773124999919601E-2</v>
      </c>
      <c r="K69">
        <v>2478</v>
      </c>
      <c r="L69">
        <v>4</v>
      </c>
      <c r="M69">
        <v>1401.69122069022</v>
      </c>
      <c r="N69">
        <v>5.6772089992591004E-3</v>
      </c>
      <c r="O69">
        <v>400</v>
      </c>
      <c r="P69">
        <v>9</v>
      </c>
      <c r="Q69">
        <v>1305.0818159999999</v>
      </c>
      <c r="R69">
        <v>0.196268417</v>
      </c>
      <c r="S69" t="e">
        <f t="shared" si="3"/>
        <v>#N/A</v>
      </c>
      <c r="T69" s="3">
        <f t="shared" si="2"/>
        <v>0</v>
      </c>
    </row>
    <row r="70" spans="1:23" x14ac:dyDescent="0.3">
      <c r="B70" t="s">
        <v>48</v>
      </c>
      <c r="C70" t="s">
        <v>49</v>
      </c>
      <c r="D70" t="s">
        <v>13</v>
      </c>
      <c r="E70" t="s">
        <v>53</v>
      </c>
      <c r="F70" s="2">
        <v>122</v>
      </c>
      <c r="G70">
        <v>3244</v>
      </c>
      <c r="H70">
        <v>10</v>
      </c>
      <c r="I70">
        <v>3536.7198525948402</v>
      </c>
      <c r="J70">
        <v>1.7475709002610501E-2</v>
      </c>
      <c r="K70">
        <v>369</v>
      </c>
      <c r="L70">
        <v>8</v>
      </c>
      <c r="M70">
        <v>3750.4699974024902</v>
      </c>
      <c r="N70">
        <v>1.3537919985537E-3</v>
      </c>
      <c r="O70">
        <v>400</v>
      </c>
      <c r="P70">
        <v>12</v>
      </c>
      <c r="Q70">
        <v>3944.2043020000001</v>
      </c>
      <c r="R70">
        <v>0.19425620800000001</v>
      </c>
      <c r="S70" t="e">
        <f t="shared" si="3"/>
        <v>#N/A</v>
      </c>
      <c r="T70" s="3">
        <f t="shared" si="2"/>
        <v>0</v>
      </c>
    </row>
    <row r="71" spans="1:23" x14ac:dyDescent="0.3">
      <c r="A71">
        <f>1+A69</f>
        <v>35</v>
      </c>
      <c r="B71" t="s">
        <v>48</v>
      </c>
      <c r="C71" t="s">
        <v>49</v>
      </c>
      <c r="D71" t="s">
        <v>11</v>
      </c>
      <c r="E71" t="s">
        <v>54</v>
      </c>
      <c r="F71" s="2">
        <v>735</v>
      </c>
      <c r="G71">
        <v>253348</v>
      </c>
      <c r="H71">
        <v>10</v>
      </c>
      <c r="I71">
        <v>5440.7021329514901</v>
      </c>
      <c r="J71">
        <v>2.5640441670002398</v>
      </c>
      <c r="K71">
        <v>22120</v>
      </c>
      <c r="L71">
        <v>26</v>
      </c>
      <c r="M71">
        <v>4440.2728923094701</v>
      </c>
      <c r="N71">
        <v>5.5281375000049503E-2</v>
      </c>
      <c r="O71">
        <v>400</v>
      </c>
      <c r="P71">
        <v>55</v>
      </c>
      <c r="Q71">
        <v>3963.7235949999999</v>
      </c>
      <c r="R71">
        <v>2.8858054169999998</v>
      </c>
      <c r="S71" t="e">
        <f t="shared" si="3"/>
        <v>#N/A</v>
      </c>
      <c r="T71" s="3">
        <f t="shared" si="2"/>
        <v>0</v>
      </c>
      <c r="U71" s="1">
        <v>10</v>
      </c>
      <c r="V71">
        <v>5469.4759999999997</v>
      </c>
      <c r="W71">
        <v>41.89</v>
      </c>
    </row>
    <row r="72" spans="1:23" x14ac:dyDescent="0.3">
      <c r="B72" t="s">
        <v>48</v>
      </c>
      <c r="C72" t="s">
        <v>49</v>
      </c>
      <c r="D72" t="s">
        <v>13</v>
      </c>
      <c r="E72" t="s">
        <v>54</v>
      </c>
      <c r="F72" s="2">
        <v>735</v>
      </c>
      <c r="G72">
        <v>253348</v>
      </c>
      <c r="H72">
        <v>10</v>
      </c>
      <c r="I72">
        <v>1050.3253198137099</v>
      </c>
      <c r="J72">
        <v>2.7390105420017701</v>
      </c>
      <c r="K72">
        <v>7519</v>
      </c>
      <c r="L72">
        <v>10</v>
      </c>
      <c r="M72">
        <v>1054.9051662460799</v>
      </c>
      <c r="N72">
        <v>3.2033749997935901E-2</v>
      </c>
      <c r="O72">
        <v>400</v>
      </c>
      <c r="P72">
        <v>37</v>
      </c>
      <c r="Q72">
        <v>1360.541248</v>
      </c>
      <c r="R72">
        <v>2.652857875</v>
      </c>
      <c r="S72" t="e">
        <f t="shared" si="3"/>
        <v>#N/A</v>
      </c>
      <c r="T72" s="3">
        <f t="shared" si="2"/>
        <v>1</v>
      </c>
      <c r="U72" s="1">
        <v>10</v>
      </c>
      <c r="V72">
        <v>1173.915</v>
      </c>
      <c r="W72">
        <v>41.89</v>
      </c>
    </row>
    <row r="73" spans="1:23" x14ac:dyDescent="0.3">
      <c r="A73">
        <f>1+A71</f>
        <v>36</v>
      </c>
      <c r="B73" t="s">
        <v>48</v>
      </c>
      <c r="C73" t="s">
        <v>55</v>
      </c>
      <c r="D73" t="s">
        <v>11</v>
      </c>
      <c r="E73" t="s">
        <v>56</v>
      </c>
      <c r="F73" s="2">
        <v>136</v>
      </c>
      <c r="G73">
        <v>4763</v>
      </c>
      <c r="H73">
        <v>10</v>
      </c>
      <c r="I73">
        <v>1327.73514340783</v>
      </c>
      <c r="J73">
        <v>2.3613875000592002E-2</v>
      </c>
      <c r="K73">
        <v>3083</v>
      </c>
      <c r="L73">
        <v>4</v>
      </c>
      <c r="M73">
        <v>1415.3597817375601</v>
      </c>
      <c r="N73">
        <v>6.9667089992434999E-3</v>
      </c>
      <c r="O73">
        <v>400</v>
      </c>
      <c r="P73">
        <v>10</v>
      </c>
      <c r="Q73">
        <v>1345.822424</v>
      </c>
      <c r="R73">
        <v>0.24909820799999999</v>
      </c>
      <c r="S73">
        <f t="shared" si="3"/>
        <v>1.3622657110473266E-2</v>
      </c>
      <c r="T73" s="3">
        <f t="shared" si="2"/>
        <v>0</v>
      </c>
    </row>
    <row r="74" spans="1:23" x14ac:dyDescent="0.3">
      <c r="B74" t="s">
        <v>48</v>
      </c>
      <c r="C74" t="s">
        <v>55</v>
      </c>
      <c r="D74" t="s">
        <v>13</v>
      </c>
      <c r="E74" t="s">
        <v>56</v>
      </c>
      <c r="F74" s="2">
        <v>136</v>
      </c>
      <c r="G74">
        <v>4763</v>
      </c>
      <c r="H74">
        <v>10</v>
      </c>
      <c r="I74">
        <v>2793.7374372357199</v>
      </c>
      <c r="J74">
        <v>2.6536250003118701E-2</v>
      </c>
      <c r="K74">
        <v>326</v>
      </c>
      <c r="L74">
        <v>5</v>
      </c>
      <c r="M74">
        <v>3061.21433681288</v>
      </c>
      <c r="N74">
        <v>1.1745000010705E-3</v>
      </c>
      <c r="O74">
        <v>400</v>
      </c>
      <c r="P74">
        <v>9</v>
      </c>
      <c r="Q74">
        <v>3741.441206</v>
      </c>
      <c r="R74">
        <v>0.234839042</v>
      </c>
      <c r="S74" t="e">
        <f t="shared" si="3"/>
        <v>#N/A</v>
      </c>
      <c r="T74" s="3">
        <f t="shared" si="2"/>
        <v>0</v>
      </c>
    </row>
    <row r="75" spans="1:23" x14ac:dyDescent="0.3">
      <c r="A75">
        <f>1+A73</f>
        <v>37</v>
      </c>
      <c r="B75" t="s">
        <v>48</v>
      </c>
      <c r="C75" t="s">
        <v>55</v>
      </c>
      <c r="D75" t="s">
        <v>11</v>
      </c>
      <c r="E75" t="s">
        <v>57</v>
      </c>
      <c r="F75" s="2">
        <v>116</v>
      </c>
      <c r="G75">
        <v>2653</v>
      </c>
      <c r="H75">
        <v>10</v>
      </c>
      <c r="I75">
        <v>518.34831617008797</v>
      </c>
      <c r="J75">
        <v>1.1758374999772E-2</v>
      </c>
      <c r="K75">
        <v>2063</v>
      </c>
      <c r="L75">
        <v>5</v>
      </c>
      <c r="M75">
        <v>668.45667378733106</v>
      </c>
      <c r="N75">
        <v>4.7258329977920999E-3</v>
      </c>
      <c r="O75">
        <v>400</v>
      </c>
      <c r="P75">
        <v>9</v>
      </c>
      <c r="Q75">
        <v>601.12020210000003</v>
      </c>
      <c r="R75">
        <v>0.181509791</v>
      </c>
      <c r="S75" t="e">
        <f t="shared" si="3"/>
        <v>#N/A</v>
      </c>
      <c r="T75" s="3">
        <f t="shared" si="2"/>
        <v>0</v>
      </c>
    </row>
    <row r="76" spans="1:23" x14ac:dyDescent="0.3">
      <c r="B76" t="s">
        <v>48</v>
      </c>
      <c r="C76" t="s">
        <v>55</v>
      </c>
      <c r="D76" t="s">
        <v>13</v>
      </c>
      <c r="E76" t="s">
        <v>57</v>
      </c>
      <c r="F76" s="2">
        <v>116</v>
      </c>
      <c r="G76">
        <v>2653</v>
      </c>
      <c r="H76">
        <v>10</v>
      </c>
      <c r="I76">
        <v>280.83085833528202</v>
      </c>
      <c r="J76">
        <v>1.39550829990184E-2</v>
      </c>
      <c r="K76">
        <v>1138</v>
      </c>
      <c r="L76">
        <v>3</v>
      </c>
      <c r="M76">
        <v>402.73005220358198</v>
      </c>
      <c r="N76">
        <v>3.8616249985352E-3</v>
      </c>
      <c r="O76">
        <v>400</v>
      </c>
      <c r="P76">
        <v>9</v>
      </c>
      <c r="Q76">
        <v>311.35460260000002</v>
      </c>
      <c r="R76">
        <v>0.172954792</v>
      </c>
      <c r="S76" t="e">
        <f t="shared" si="3"/>
        <v>#N/A</v>
      </c>
      <c r="T76" s="3">
        <f t="shared" si="2"/>
        <v>0</v>
      </c>
    </row>
    <row r="77" spans="1:23" x14ac:dyDescent="0.3">
      <c r="A77">
        <f>1+A75</f>
        <v>38</v>
      </c>
      <c r="B77" t="s">
        <v>48</v>
      </c>
      <c r="C77" t="s">
        <v>55</v>
      </c>
      <c r="D77" t="s">
        <v>11</v>
      </c>
      <c r="E77" t="s">
        <v>58</v>
      </c>
      <c r="F77" s="2">
        <v>123</v>
      </c>
      <c r="G77">
        <v>3346</v>
      </c>
      <c r="H77">
        <v>10</v>
      </c>
      <c r="I77">
        <v>1335.6099523795999</v>
      </c>
      <c r="J77">
        <v>1.7349707999528601E-2</v>
      </c>
      <c r="K77">
        <v>2116</v>
      </c>
      <c r="L77">
        <v>6</v>
      </c>
      <c r="M77">
        <v>1461.7521017951999</v>
      </c>
      <c r="N77">
        <v>5.0174999996670001E-3</v>
      </c>
      <c r="O77">
        <v>400</v>
      </c>
      <c r="P77">
        <v>11</v>
      </c>
      <c r="Q77">
        <v>1329.1768689999999</v>
      </c>
      <c r="R77">
        <v>0.206732583</v>
      </c>
      <c r="S77" t="e">
        <f t="shared" si="3"/>
        <v>#N/A</v>
      </c>
      <c r="T77" s="3">
        <f t="shared" si="2"/>
        <v>0</v>
      </c>
    </row>
    <row r="78" spans="1:23" x14ac:dyDescent="0.3">
      <c r="B78" t="s">
        <v>48</v>
      </c>
      <c r="C78" t="s">
        <v>55</v>
      </c>
      <c r="D78" t="s">
        <v>13</v>
      </c>
      <c r="E78" t="s">
        <v>58</v>
      </c>
      <c r="F78" s="2">
        <v>123</v>
      </c>
      <c r="G78">
        <v>3346</v>
      </c>
      <c r="H78">
        <v>10</v>
      </c>
      <c r="I78">
        <v>5844.9380722899195</v>
      </c>
      <c r="J78">
        <v>1.78914999996777E-2</v>
      </c>
      <c r="K78">
        <v>300</v>
      </c>
      <c r="L78">
        <v>9</v>
      </c>
      <c r="M78">
        <v>5924.4673595028798</v>
      </c>
      <c r="N78">
        <v>1.0965830006171001E-3</v>
      </c>
      <c r="O78">
        <v>400</v>
      </c>
      <c r="P78">
        <v>10</v>
      </c>
      <c r="Q78">
        <v>6463.6937520000001</v>
      </c>
      <c r="R78">
        <v>0.18579899999999999</v>
      </c>
      <c r="S78">
        <f t="shared" si="3"/>
        <v>0.10586180247888675</v>
      </c>
      <c r="T78" s="3">
        <f t="shared" si="2"/>
        <v>0</v>
      </c>
    </row>
    <row r="79" spans="1:23" x14ac:dyDescent="0.3">
      <c r="A79">
        <f>1+A77</f>
        <v>39</v>
      </c>
      <c r="B79" t="s">
        <v>48</v>
      </c>
      <c r="C79" t="s">
        <v>55</v>
      </c>
      <c r="D79" t="s">
        <v>11</v>
      </c>
      <c r="E79" t="s">
        <v>59</v>
      </c>
      <c r="F79" s="2">
        <v>117</v>
      </c>
      <c r="G79">
        <v>2749</v>
      </c>
      <c r="H79">
        <v>10</v>
      </c>
      <c r="I79">
        <v>690.47822581320702</v>
      </c>
      <c r="J79">
        <v>1.1803958001110001E-2</v>
      </c>
      <c r="K79">
        <v>2674</v>
      </c>
      <c r="L79">
        <v>3</v>
      </c>
      <c r="M79">
        <v>813.83722281161795</v>
      </c>
      <c r="N79">
        <v>6.1024999995424002E-3</v>
      </c>
      <c r="O79">
        <v>400</v>
      </c>
      <c r="P79">
        <v>7</v>
      </c>
      <c r="Q79">
        <v>716.12168369999995</v>
      </c>
      <c r="R79">
        <v>0.19052254199999999</v>
      </c>
      <c r="S79" t="e">
        <f t="shared" si="3"/>
        <v>#N/A</v>
      </c>
      <c r="T79" s="3">
        <f t="shared" si="2"/>
        <v>0</v>
      </c>
    </row>
    <row r="80" spans="1:23" x14ac:dyDescent="0.3">
      <c r="B80" t="s">
        <v>48</v>
      </c>
      <c r="C80" t="s">
        <v>55</v>
      </c>
      <c r="D80" t="s">
        <v>13</v>
      </c>
      <c r="E80" t="s">
        <v>59</v>
      </c>
      <c r="F80" s="2">
        <v>117</v>
      </c>
      <c r="G80">
        <v>2749</v>
      </c>
      <c r="H80">
        <v>10</v>
      </c>
      <c r="I80">
        <v>300.16754614457699</v>
      </c>
      <c r="J80">
        <v>1.44676250019983E-2</v>
      </c>
      <c r="K80">
        <v>819</v>
      </c>
      <c r="L80">
        <v>2</v>
      </c>
      <c r="M80">
        <v>302.099284631822</v>
      </c>
      <c r="N80">
        <v>2.7696249999279998E-3</v>
      </c>
      <c r="O80">
        <v>400</v>
      </c>
      <c r="P80">
        <v>6</v>
      </c>
      <c r="Q80">
        <v>254.47399859999999</v>
      </c>
      <c r="R80">
        <v>0.16085129200000001</v>
      </c>
      <c r="S80" t="e">
        <f t="shared" si="3"/>
        <v>#N/A</v>
      </c>
      <c r="T80" s="3">
        <f t="shared" si="2"/>
        <v>0</v>
      </c>
    </row>
    <row r="81" spans="1:23" x14ac:dyDescent="0.3">
      <c r="A81">
        <f>1+A79</f>
        <v>40</v>
      </c>
      <c r="B81" t="s">
        <v>48</v>
      </c>
      <c r="C81" t="s">
        <v>55</v>
      </c>
      <c r="D81" t="s">
        <v>11</v>
      </c>
      <c r="E81" t="s">
        <v>60</v>
      </c>
      <c r="F81" s="2">
        <v>738</v>
      </c>
      <c r="G81">
        <v>255496</v>
      </c>
      <c r="H81">
        <v>10</v>
      </c>
      <c r="I81">
        <v>6334.8321570067501</v>
      </c>
      <c r="J81">
        <v>2.5081502920002001</v>
      </c>
      <c r="K81">
        <v>30032</v>
      </c>
      <c r="L81">
        <v>17</v>
      </c>
      <c r="M81">
        <v>5857.1387548229204</v>
      </c>
      <c r="N81">
        <v>7.2676959000091301E-2</v>
      </c>
      <c r="O81">
        <v>400</v>
      </c>
      <c r="P81">
        <v>56</v>
      </c>
      <c r="Q81">
        <v>5207.1798239999998</v>
      </c>
      <c r="R81">
        <v>2.723816459</v>
      </c>
      <c r="S81" t="e">
        <f t="shared" si="3"/>
        <v>#N/A</v>
      </c>
      <c r="T81" s="3">
        <f t="shared" si="2"/>
        <v>0</v>
      </c>
      <c r="U81" s="1">
        <v>10</v>
      </c>
      <c r="V81">
        <v>6334.8320000000003</v>
      </c>
      <c r="W81">
        <v>41.89</v>
      </c>
    </row>
    <row r="82" spans="1:23" x14ac:dyDescent="0.3">
      <c r="B82" t="s">
        <v>48</v>
      </c>
      <c r="C82" t="s">
        <v>55</v>
      </c>
      <c r="D82" t="s">
        <v>13</v>
      </c>
      <c r="E82" t="s">
        <v>60</v>
      </c>
      <c r="F82" s="2">
        <v>738</v>
      </c>
      <c r="G82">
        <v>255496</v>
      </c>
      <c r="H82">
        <v>10</v>
      </c>
      <c r="I82">
        <v>1946.8461779812201</v>
      </c>
      <c r="J82">
        <v>2.7682286659983202</v>
      </c>
      <c r="K82">
        <v>4253</v>
      </c>
      <c r="L82">
        <v>10</v>
      </c>
      <c r="M82">
        <v>2251.94009142809</v>
      </c>
      <c r="N82">
        <v>1.45510410002316E-2</v>
      </c>
      <c r="O82">
        <v>400</v>
      </c>
      <c r="P82">
        <v>39</v>
      </c>
      <c r="Q82">
        <v>3132.6087229999998</v>
      </c>
      <c r="R82">
        <v>2.390425708</v>
      </c>
      <c r="S82" t="e">
        <f t="shared" si="3"/>
        <v>#N/A</v>
      </c>
      <c r="T82" s="3">
        <f t="shared" si="2"/>
        <v>1</v>
      </c>
      <c r="U82" s="1">
        <v>10</v>
      </c>
      <c r="V82">
        <v>2081.2489999999998</v>
      </c>
      <c r="W82">
        <v>41.89</v>
      </c>
    </row>
    <row r="83" spans="1:23" x14ac:dyDescent="0.3">
      <c r="A83">
        <f>1+A81</f>
        <v>41</v>
      </c>
      <c r="B83" t="s">
        <v>48</v>
      </c>
      <c r="C83" t="s">
        <v>61</v>
      </c>
      <c r="D83" t="s">
        <v>11</v>
      </c>
      <c r="E83" t="s">
        <v>62</v>
      </c>
      <c r="F83" s="2">
        <v>162</v>
      </c>
      <c r="G83">
        <v>8104</v>
      </c>
      <c r="H83">
        <v>10</v>
      </c>
      <c r="I83">
        <v>1298.74977702859</v>
      </c>
      <c r="J83">
        <v>4.1404707997571601E-2</v>
      </c>
      <c r="K83">
        <v>5477</v>
      </c>
      <c r="L83">
        <v>5</v>
      </c>
      <c r="M83">
        <v>1417.4123663767</v>
      </c>
      <c r="N83">
        <v>1.2540583997179E-2</v>
      </c>
      <c r="O83">
        <v>400</v>
      </c>
      <c r="P83">
        <v>9</v>
      </c>
      <c r="Q83">
        <v>1345.4676010000001</v>
      </c>
      <c r="R83">
        <v>0.36603641599999998</v>
      </c>
      <c r="S83" t="e">
        <f t="shared" si="3"/>
        <v>#N/A</v>
      </c>
      <c r="T83" s="3">
        <f t="shared" si="2"/>
        <v>0</v>
      </c>
    </row>
    <row r="84" spans="1:23" x14ac:dyDescent="0.3">
      <c r="B84" t="s">
        <v>48</v>
      </c>
      <c r="C84" t="s">
        <v>61</v>
      </c>
      <c r="D84" t="s">
        <v>13</v>
      </c>
      <c r="E84" t="s">
        <v>62</v>
      </c>
      <c r="F84" s="2">
        <v>162</v>
      </c>
      <c r="G84">
        <v>8104</v>
      </c>
      <c r="H84">
        <v>10</v>
      </c>
      <c r="I84">
        <v>884.25761835196897</v>
      </c>
      <c r="J84">
        <v>4.8764834002213299E-2</v>
      </c>
      <c r="K84">
        <v>990</v>
      </c>
      <c r="L84">
        <v>6</v>
      </c>
      <c r="M84">
        <v>881.48695735612398</v>
      </c>
      <c r="N84">
        <v>3.3850830004666E-3</v>
      </c>
      <c r="O84">
        <v>400</v>
      </c>
      <c r="P84">
        <v>11</v>
      </c>
      <c r="Q84">
        <v>1115.5015510000001</v>
      </c>
      <c r="R84">
        <v>0.334995459</v>
      </c>
      <c r="S84" t="e">
        <f t="shared" si="3"/>
        <v>#N/A</v>
      </c>
      <c r="T84" s="3">
        <f t="shared" si="2"/>
        <v>0</v>
      </c>
    </row>
    <row r="85" spans="1:23" x14ac:dyDescent="0.3">
      <c r="A85">
        <f>1+A83</f>
        <v>42</v>
      </c>
      <c r="B85" t="s">
        <v>48</v>
      </c>
      <c r="C85" t="s">
        <v>61</v>
      </c>
      <c r="D85" t="s">
        <v>11</v>
      </c>
      <c r="E85" t="s">
        <v>63</v>
      </c>
      <c r="F85" s="2">
        <v>122</v>
      </c>
      <c r="G85">
        <v>3244</v>
      </c>
      <c r="H85">
        <v>10</v>
      </c>
      <c r="I85">
        <v>965.12750272286098</v>
      </c>
      <c r="J85">
        <v>1.45383329981996E-2</v>
      </c>
      <c r="K85">
        <v>2024</v>
      </c>
      <c r="L85">
        <v>6</v>
      </c>
      <c r="M85">
        <v>1059.57164559994</v>
      </c>
      <c r="N85">
        <v>4.7197089988912002E-3</v>
      </c>
      <c r="O85">
        <v>400</v>
      </c>
      <c r="P85">
        <v>10</v>
      </c>
      <c r="Q85">
        <v>994.32620870000005</v>
      </c>
      <c r="R85">
        <v>0.189929458</v>
      </c>
      <c r="S85">
        <f t="shared" si="3"/>
        <v>3.0253729061458068E-2</v>
      </c>
      <c r="T85" s="3">
        <f t="shared" si="2"/>
        <v>0</v>
      </c>
    </row>
    <row r="86" spans="1:23" x14ac:dyDescent="0.3">
      <c r="B86" t="s">
        <v>48</v>
      </c>
      <c r="C86" t="s">
        <v>61</v>
      </c>
      <c r="D86" t="s">
        <v>13</v>
      </c>
      <c r="E86" t="s">
        <v>63</v>
      </c>
      <c r="F86" s="2">
        <v>122</v>
      </c>
      <c r="G86">
        <v>3244</v>
      </c>
      <c r="H86">
        <v>10</v>
      </c>
      <c r="I86">
        <v>1072.3094726199599</v>
      </c>
      <c r="J86">
        <v>1.72904999999445E-2</v>
      </c>
      <c r="K86">
        <v>592</v>
      </c>
      <c r="L86">
        <v>6</v>
      </c>
      <c r="M86">
        <v>999.43834234358303</v>
      </c>
      <c r="N86">
        <v>2.0905000019411E-3</v>
      </c>
      <c r="O86">
        <v>400</v>
      </c>
      <c r="P86">
        <v>8</v>
      </c>
      <c r="Q86">
        <v>1241.8978999999999</v>
      </c>
      <c r="R86">
        <v>0.21151424999999999</v>
      </c>
      <c r="S86" t="e">
        <f t="shared" si="3"/>
        <v>#N/A</v>
      </c>
      <c r="T86" s="3">
        <f t="shared" si="2"/>
        <v>0</v>
      </c>
    </row>
    <row r="87" spans="1:23" x14ac:dyDescent="0.3">
      <c r="A87">
        <f>1+A85</f>
        <v>43</v>
      </c>
      <c r="B87" t="s">
        <v>48</v>
      </c>
      <c r="C87" t="s">
        <v>61</v>
      </c>
      <c r="D87" t="s">
        <v>11</v>
      </c>
      <c r="E87" t="s">
        <v>64</v>
      </c>
      <c r="F87" s="2">
        <v>118</v>
      </c>
      <c r="G87">
        <v>2846</v>
      </c>
      <c r="H87">
        <v>10</v>
      </c>
      <c r="I87">
        <v>1615.66433617185</v>
      </c>
      <c r="J87">
        <v>1.2629208998987399E-2</v>
      </c>
      <c r="K87">
        <v>769</v>
      </c>
      <c r="L87">
        <v>1</v>
      </c>
      <c r="M87">
        <v>1634.5698089182299</v>
      </c>
      <c r="N87">
        <v>1.7886669993458001E-3</v>
      </c>
      <c r="O87">
        <v>400</v>
      </c>
      <c r="P87">
        <v>2</v>
      </c>
      <c r="Q87">
        <v>1615.145485</v>
      </c>
      <c r="R87">
        <v>0.13330149999999999</v>
      </c>
      <c r="S87" t="e">
        <f t="shared" si="3"/>
        <v>#N/A</v>
      </c>
      <c r="T87" s="3">
        <f t="shared" si="2"/>
        <v>0</v>
      </c>
    </row>
    <row r="88" spans="1:23" x14ac:dyDescent="0.3">
      <c r="B88" t="s">
        <v>48</v>
      </c>
      <c r="C88" t="s">
        <v>61</v>
      </c>
      <c r="D88" t="s">
        <v>13</v>
      </c>
      <c r="E88" t="s">
        <v>64</v>
      </c>
      <c r="F88" s="2">
        <v>118</v>
      </c>
      <c r="G88">
        <v>2846</v>
      </c>
      <c r="H88">
        <v>10</v>
      </c>
      <c r="I88">
        <v>12615.591388411</v>
      </c>
      <c r="J88">
        <v>1.5098166000825501E-2</v>
      </c>
      <c r="K88">
        <v>214</v>
      </c>
      <c r="L88">
        <v>1</v>
      </c>
      <c r="M88">
        <v>3300.6188550373399</v>
      </c>
      <c r="N88">
        <v>8.1429099736850003E-4</v>
      </c>
      <c r="O88">
        <v>400</v>
      </c>
      <c r="P88">
        <v>1</v>
      </c>
      <c r="Q88">
        <v>3300.6188550000002</v>
      </c>
      <c r="R88">
        <v>6.8327874999999996E-2</v>
      </c>
      <c r="S88" t="e">
        <f t="shared" si="3"/>
        <v>#N/A</v>
      </c>
      <c r="T88" s="3">
        <f t="shared" si="2"/>
        <v>0</v>
      </c>
    </row>
    <row r="89" spans="1:23" x14ac:dyDescent="0.3">
      <c r="A89">
        <f>1+A87</f>
        <v>44</v>
      </c>
      <c r="B89" t="s">
        <v>48</v>
      </c>
      <c r="C89" t="s">
        <v>61</v>
      </c>
      <c r="D89" t="s">
        <v>11</v>
      </c>
      <c r="E89" t="s">
        <v>65</v>
      </c>
      <c r="F89" s="2">
        <v>153</v>
      </c>
      <c r="G89">
        <v>6871</v>
      </c>
      <c r="H89">
        <v>10</v>
      </c>
      <c r="I89">
        <v>1693.43957576093</v>
      </c>
      <c r="J89">
        <v>3.3462208000855698E-2</v>
      </c>
      <c r="K89">
        <v>4371</v>
      </c>
      <c r="L89">
        <v>4</v>
      </c>
      <c r="M89">
        <v>1848.80154283243</v>
      </c>
      <c r="N89">
        <v>9.8087500009568993E-3</v>
      </c>
      <c r="O89">
        <v>400</v>
      </c>
      <c r="P89">
        <v>12</v>
      </c>
      <c r="Q89">
        <v>1676.8048759999999</v>
      </c>
      <c r="R89">
        <v>0.30659741699999998</v>
      </c>
      <c r="S89" t="e">
        <f t="shared" si="3"/>
        <v>#N/A</v>
      </c>
      <c r="T89" s="3">
        <f t="shared" si="2"/>
        <v>0</v>
      </c>
    </row>
    <row r="90" spans="1:23" x14ac:dyDescent="0.3">
      <c r="B90" t="s">
        <v>48</v>
      </c>
      <c r="C90" t="s">
        <v>61</v>
      </c>
      <c r="D90" t="s">
        <v>13</v>
      </c>
      <c r="E90" t="s">
        <v>65</v>
      </c>
      <c r="F90" s="2">
        <v>153</v>
      </c>
      <c r="G90">
        <v>6871</v>
      </c>
      <c r="H90">
        <v>10</v>
      </c>
      <c r="I90">
        <v>7375.6097673404902</v>
      </c>
      <c r="J90">
        <v>4.0863457998057101E-2</v>
      </c>
      <c r="K90">
        <v>385</v>
      </c>
      <c r="L90">
        <v>7</v>
      </c>
      <c r="M90">
        <v>7468.1947024803903</v>
      </c>
      <c r="N90">
        <v>1.4236669994716E-3</v>
      </c>
      <c r="O90">
        <v>400</v>
      </c>
      <c r="P90">
        <v>10</v>
      </c>
      <c r="Q90">
        <v>8564.7103490000009</v>
      </c>
      <c r="R90">
        <v>0.32600795799999999</v>
      </c>
      <c r="S90">
        <f t="shared" si="3"/>
        <v>0.16122064739987979</v>
      </c>
      <c r="T90" s="3">
        <f t="shared" si="2"/>
        <v>0</v>
      </c>
    </row>
    <row r="91" spans="1:23" x14ac:dyDescent="0.3">
      <c r="A91">
        <f>1+A89</f>
        <v>45</v>
      </c>
      <c r="B91" t="s">
        <v>48</v>
      </c>
      <c r="C91" t="s">
        <v>61</v>
      </c>
      <c r="D91" t="s">
        <v>11</v>
      </c>
      <c r="E91" t="s">
        <v>66</v>
      </c>
      <c r="F91" s="2">
        <v>737</v>
      </c>
      <c r="G91">
        <v>254779</v>
      </c>
      <c r="H91">
        <v>10</v>
      </c>
      <c r="I91">
        <v>7675.3270040017096</v>
      </c>
      <c r="J91">
        <v>2.55143758299891</v>
      </c>
      <c r="K91">
        <v>44306</v>
      </c>
      <c r="L91">
        <v>10</v>
      </c>
      <c r="M91">
        <v>7675.3270040017096</v>
      </c>
      <c r="N91">
        <v>0.101708166999742</v>
      </c>
      <c r="O91">
        <v>400</v>
      </c>
      <c r="P91">
        <v>27</v>
      </c>
      <c r="Q91">
        <v>7369.2627300000004</v>
      </c>
      <c r="R91">
        <v>2.7776066250000002</v>
      </c>
      <c r="S91" t="e">
        <f t="shared" si="3"/>
        <v>#N/A</v>
      </c>
      <c r="T91" s="3">
        <f t="shared" si="2"/>
        <v>1</v>
      </c>
      <c r="U91" s="1">
        <v>10</v>
      </c>
      <c r="V91">
        <v>7675.643</v>
      </c>
      <c r="W91">
        <v>43.22</v>
      </c>
    </row>
    <row r="92" spans="1:23" x14ac:dyDescent="0.3">
      <c r="B92" t="s">
        <v>48</v>
      </c>
      <c r="C92" t="s">
        <v>61</v>
      </c>
      <c r="D92" t="s">
        <v>13</v>
      </c>
      <c r="E92" t="s">
        <v>66</v>
      </c>
      <c r="F92" s="2">
        <v>737</v>
      </c>
      <c r="G92">
        <v>254779</v>
      </c>
      <c r="H92">
        <v>10</v>
      </c>
      <c r="I92">
        <v>4295.0432060639896</v>
      </c>
      <c r="J92">
        <v>2.7202542919985699</v>
      </c>
      <c r="K92">
        <v>2183</v>
      </c>
      <c r="L92">
        <v>7</v>
      </c>
      <c r="M92">
        <v>5036.3299615866699</v>
      </c>
      <c r="N92">
        <v>7.7172079982118997E-3</v>
      </c>
      <c r="O92">
        <v>400</v>
      </c>
      <c r="P92">
        <v>7</v>
      </c>
      <c r="Q92">
        <v>5064.2467399999996</v>
      </c>
      <c r="R92">
        <v>2.0747581670000002</v>
      </c>
      <c r="S92" t="e">
        <f t="shared" si="3"/>
        <v>#N/A</v>
      </c>
      <c r="T92" s="3">
        <f t="shared" si="2"/>
        <v>0</v>
      </c>
      <c r="U92" s="1">
        <v>10</v>
      </c>
      <c r="V92">
        <v>3913.7820000000002</v>
      </c>
      <c r="W92">
        <v>36.520000000000003</v>
      </c>
    </row>
    <row r="93" spans="1:23" x14ac:dyDescent="0.3">
      <c r="A93">
        <f>1+A91</f>
        <v>46</v>
      </c>
      <c r="B93" t="s">
        <v>48</v>
      </c>
      <c r="C93" t="s">
        <v>67</v>
      </c>
      <c r="D93" t="s">
        <v>11</v>
      </c>
      <c r="E93" t="s">
        <v>68</v>
      </c>
      <c r="F93" s="2">
        <v>164</v>
      </c>
      <c r="G93">
        <v>8389</v>
      </c>
      <c r="H93">
        <v>10</v>
      </c>
      <c r="I93">
        <v>1922.4030860863099</v>
      </c>
      <c r="J93">
        <v>7.1125874997960595E-2</v>
      </c>
      <c r="K93">
        <v>8341</v>
      </c>
      <c r="L93">
        <v>1</v>
      </c>
      <c r="M93">
        <v>2140.5476767314999</v>
      </c>
      <c r="N93">
        <v>1.8751208001049201E-2</v>
      </c>
      <c r="O93">
        <v>400</v>
      </c>
      <c r="P93">
        <v>13</v>
      </c>
      <c r="Q93">
        <v>1904.1694460000001</v>
      </c>
      <c r="R93">
        <v>0.38175141600000001</v>
      </c>
      <c r="S93" t="e">
        <f t="shared" si="3"/>
        <v>#N/A</v>
      </c>
      <c r="T93" s="3">
        <f t="shared" si="2"/>
        <v>0</v>
      </c>
    </row>
    <row r="94" spans="1:23" x14ac:dyDescent="0.3">
      <c r="B94" t="s">
        <v>48</v>
      </c>
      <c r="C94" t="s">
        <v>67</v>
      </c>
      <c r="D94" t="s">
        <v>13</v>
      </c>
      <c r="E94" t="s">
        <v>68</v>
      </c>
      <c r="F94" s="2">
        <v>164</v>
      </c>
      <c r="G94">
        <v>8389</v>
      </c>
      <c r="H94">
        <v>10</v>
      </c>
      <c r="I94">
        <v>5461.62691409936</v>
      </c>
      <c r="J94">
        <v>5.0859499999205499E-2</v>
      </c>
      <c r="K94">
        <v>308</v>
      </c>
      <c r="L94">
        <v>1</v>
      </c>
      <c r="M94">
        <v>2413.4957038274301</v>
      </c>
      <c r="N94">
        <v>1.1463330010883001E-3</v>
      </c>
      <c r="O94">
        <v>400</v>
      </c>
      <c r="P94">
        <v>13</v>
      </c>
      <c r="Q94">
        <v>7180.7728550000002</v>
      </c>
      <c r="R94">
        <v>0.33105183300000002</v>
      </c>
      <c r="S94" t="e">
        <f t="shared" si="3"/>
        <v>#N/A</v>
      </c>
      <c r="T94" s="3">
        <f t="shared" si="2"/>
        <v>0</v>
      </c>
    </row>
    <row r="95" spans="1:23" x14ac:dyDescent="0.3">
      <c r="A95">
        <f>1+A93</f>
        <v>47</v>
      </c>
      <c r="B95" t="s">
        <v>48</v>
      </c>
      <c r="C95" t="s">
        <v>67</v>
      </c>
      <c r="D95" t="s">
        <v>11</v>
      </c>
      <c r="E95" t="s">
        <v>69</v>
      </c>
      <c r="F95" s="2">
        <v>126</v>
      </c>
      <c r="G95">
        <v>3658</v>
      </c>
      <c r="H95">
        <v>10</v>
      </c>
      <c r="I95">
        <v>1642.53533727271</v>
      </c>
      <c r="J95">
        <v>1.8132083001546499E-2</v>
      </c>
      <c r="K95">
        <v>2636</v>
      </c>
      <c r="L95">
        <v>4</v>
      </c>
      <c r="M95">
        <v>1716.9244751204401</v>
      </c>
      <c r="N95">
        <v>6.0249590023885996E-3</v>
      </c>
      <c r="O95">
        <v>400</v>
      </c>
      <c r="P95">
        <v>7</v>
      </c>
      <c r="Q95">
        <v>1686.291547</v>
      </c>
      <c r="R95">
        <v>0.25385875000000002</v>
      </c>
      <c r="S95" t="e">
        <f t="shared" si="3"/>
        <v>#N/A</v>
      </c>
      <c r="T95" s="3">
        <f t="shared" si="2"/>
        <v>0</v>
      </c>
    </row>
    <row r="96" spans="1:23" x14ac:dyDescent="0.3">
      <c r="B96" t="s">
        <v>48</v>
      </c>
      <c r="C96" t="s">
        <v>67</v>
      </c>
      <c r="D96" t="s">
        <v>13</v>
      </c>
      <c r="E96" t="s">
        <v>69</v>
      </c>
      <c r="F96" s="2">
        <v>126</v>
      </c>
      <c r="G96">
        <v>3658</v>
      </c>
      <c r="H96">
        <v>10</v>
      </c>
      <c r="I96">
        <v>12197.937751518801</v>
      </c>
      <c r="J96">
        <v>1.9845625000016201E-2</v>
      </c>
      <c r="K96">
        <v>244</v>
      </c>
      <c r="L96">
        <v>4</v>
      </c>
      <c r="M96">
        <v>10088.054472976701</v>
      </c>
      <c r="N96">
        <v>9.0766700304809999E-4</v>
      </c>
      <c r="O96">
        <v>400</v>
      </c>
      <c r="P96">
        <v>7</v>
      </c>
      <c r="Q96">
        <v>11234.48749</v>
      </c>
      <c r="R96">
        <v>0.23252700000000001</v>
      </c>
      <c r="S96" t="e">
        <f t="shared" si="3"/>
        <v>#N/A</v>
      </c>
      <c r="T96" s="3">
        <f t="shared" si="2"/>
        <v>0</v>
      </c>
    </row>
    <row r="97" spans="1:20" x14ac:dyDescent="0.3">
      <c r="A97">
        <f>1+A95</f>
        <v>48</v>
      </c>
      <c r="B97" t="s">
        <v>48</v>
      </c>
      <c r="C97" t="s">
        <v>67</v>
      </c>
      <c r="D97" t="s">
        <v>11</v>
      </c>
      <c r="E97" t="s">
        <v>70</v>
      </c>
      <c r="F97" s="2">
        <v>118</v>
      </c>
      <c r="G97">
        <v>2846</v>
      </c>
      <c r="H97">
        <v>10</v>
      </c>
      <c r="I97">
        <v>517.32380025205202</v>
      </c>
      <c r="J97">
        <v>1.5350041001511199E-2</v>
      </c>
      <c r="K97">
        <v>1940</v>
      </c>
      <c r="L97">
        <v>5</v>
      </c>
      <c r="M97">
        <v>611.77363789921003</v>
      </c>
      <c r="N97">
        <v>4.4550410020746996E-3</v>
      </c>
      <c r="O97">
        <v>400</v>
      </c>
      <c r="P97">
        <v>8</v>
      </c>
      <c r="Q97">
        <v>560.87647319999996</v>
      </c>
      <c r="R97">
        <v>0.23921079200000001</v>
      </c>
      <c r="S97" t="e">
        <f t="shared" si="3"/>
        <v>#N/A</v>
      </c>
      <c r="T97" s="3">
        <f t="shared" si="2"/>
        <v>0</v>
      </c>
    </row>
    <row r="98" spans="1:20" x14ac:dyDescent="0.3">
      <c r="B98" t="s">
        <v>48</v>
      </c>
      <c r="C98" t="s">
        <v>67</v>
      </c>
      <c r="D98" t="s">
        <v>13</v>
      </c>
      <c r="E98" t="s">
        <v>70</v>
      </c>
      <c r="F98" s="2">
        <v>118</v>
      </c>
      <c r="G98">
        <v>2846</v>
      </c>
      <c r="H98">
        <v>10</v>
      </c>
      <c r="I98">
        <v>153.31739437406799</v>
      </c>
      <c r="J98">
        <v>1.5157750000071199E-2</v>
      </c>
      <c r="K98">
        <v>1706</v>
      </c>
      <c r="L98">
        <v>2</v>
      </c>
      <c r="M98">
        <v>169.076986194147</v>
      </c>
      <c r="N98">
        <v>5.5349579997708998E-3</v>
      </c>
      <c r="O98">
        <v>400</v>
      </c>
      <c r="P98">
        <v>6</v>
      </c>
      <c r="Q98">
        <v>159.3606048</v>
      </c>
      <c r="R98">
        <v>0.19985145800000001</v>
      </c>
      <c r="S98" t="e">
        <f t="shared" si="3"/>
        <v>#N/A</v>
      </c>
      <c r="T98" s="3">
        <f t="shared" si="2"/>
        <v>0</v>
      </c>
    </row>
    <row r="99" spans="1:20" x14ac:dyDescent="0.3">
      <c r="A99">
        <f>1+A97</f>
        <v>49</v>
      </c>
      <c r="B99" t="s">
        <v>48</v>
      </c>
      <c r="C99" t="s">
        <v>67</v>
      </c>
      <c r="D99" t="s">
        <v>11</v>
      </c>
      <c r="E99" t="s">
        <v>71</v>
      </c>
      <c r="F99" s="2">
        <v>126</v>
      </c>
      <c r="G99">
        <v>3658</v>
      </c>
      <c r="H99">
        <v>10</v>
      </c>
      <c r="I99">
        <v>275.77164276639797</v>
      </c>
      <c r="J99">
        <v>1.88995410026109E-2</v>
      </c>
      <c r="K99">
        <v>1929</v>
      </c>
      <c r="L99">
        <v>9</v>
      </c>
      <c r="M99">
        <v>286.71840157676098</v>
      </c>
      <c r="N99">
        <v>4.4751659988833004E-3</v>
      </c>
      <c r="O99">
        <v>400</v>
      </c>
      <c r="P99">
        <v>9</v>
      </c>
      <c r="Q99">
        <v>388.12526359999998</v>
      </c>
      <c r="R99">
        <v>0.22058504200000001</v>
      </c>
      <c r="S99" t="e">
        <f t="shared" si="3"/>
        <v>#N/A</v>
      </c>
      <c r="T99" s="3">
        <f t="shared" si="2"/>
        <v>0</v>
      </c>
    </row>
    <row r="100" spans="1:20" x14ac:dyDescent="0.3">
      <c r="B100" t="s">
        <v>48</v>
      </c>
      <c r="C100" t="s">
        <v>67</v>
      </c>
      <c r="D100" t="s">
        <v>13</v>
      </c>
      <c r="E100" t="s">
        <v>71</v>
      </c>
      <c r="F100" s="2">
        <v>126</v>
      </c>
      <c r="G100">
        <v>3658</v>
      </c>
      <c r="H100">
        <v>10</v>
      </c>
      <c r="I100">
        <v>48.742046175786001</v>
      </c>
      <c r="J100">
        <v>2.0071499999175998E-2</v>
      </c>
      <c r="K100">
        <v>1874</v>
      </c>
      <c r="L100">
        <v>2</v>
      </c>
      <c r="M100">
        <v>138.98034554896199</v>
      </c>
      <c r="N100">
        <v>6.3002089991641003E-3</v>
      </c>
      <c r="O100">
        <v>400</v>
      </c>
      <c r="P100">
        <v>7</v>
      </c>
      <c r="Q100">
        <v>70.333658400000004</v>
      </c>
      <c r="R100">
        <v>0.20377716700000001</v>
      </c>
      <c r="S100" t="e">
        <f t="shared" si="3"/>
        <v>#N/A</v>
      </c>
      <c r="T100" s="3">
        <f t="shared" si="2"/>
        <v>0</v>
      </c>
    </row>
    <row r="101" spans="1:20" x14ac:dyDescent="0.3">
      <c r="A101">
        <f>1+A99</f>
        <v>50</v>
      </c>
      <c r="B101" t="s">
        <v>48</v>
      </c>
      <c r="C101" t="s">
        <v>67</v>
      </c>
      <c r="D101" t="s">
        <v>11</v>
      </c>
      <c r="E101" t="s">
        <v>72</v>
      </c>
      <c r="F101" s="2">
        <v>866</v>
      </c>
      <c r="G101">
        <v>355528</v>
      </c>
      <c r="H101">
        <v>10</v>
      </c>
      <c r="I101">
        <v>7621.7787993363199</v>
      </c>
      <c r="J101">
        <v>3.7344688330013001</v>
      </c>
      <c r="K101">
        <v>22877</v>
      </c>
      <c r="L101">
        <v>35</v>
      </c>
      <c r="M101">
        <v>5666.6210366209798</v>
      </c>
      <c r="N101">
        <v>5.8621791999030302E-2</v>
      </c>
      <c r="O101">
        <v>400</v>
      </c>
      <c r="P101">
        <v>69</v>
      </c>
      <c r="Q101">
        <v>4958.1175009999997</v>
      </c>
      <c r="R101">
        <v>3.320830875</v>
      </c>
      <c r="S101" t="e">
        <f t="shared" si="3"/>
        <v>#N/A</v>
      </c>
      <c r="T101" s="3">
        <f t="shared" si="2"/>
        <v>0</v>
      </c>
    </row>
    <row r="102" spans="1:20" x14ac:dyDescent="0.3">
      <c r="B102" t="s">
        <v>48</v>
      </c>
      <c r="C102" t="s">
        <v>67</v>
      </c>
      <c r="D102" t="s">
        <v>13</v>
      </c>
      <c r="E102" t="s">
        <v>72</v>
      </c>
      <c r="F102" s="2">
        <v>866</v>
      </c>
      <c r="G102">
        <v>355528</v>
      </c>
      <c r="H102">
        <v>10</v>
      </c>
      <c r="I102">
        <v>2713.2522973955402</v>
      </c>
      <c r="J102">
        <v>4.1427331250015396</v>
      </c>
      <c r="K102">
        <v>7573</v>
      </c>
      <c r="L102">
        <v>17</v>
      </c>
      <c r="M102">
        <v>2514.4766166363202</v>
      </c>
      <c r="N102">
        <v>2.6100874998519399E-2</v>
      </c>
      <c r="O102">
        <v>400</v>
      </c>
      <c r="P102">
        <v>50</v>
      </c>
      <c r="Q102">
        <v>2781.9545619999999</v>
      </c>
      <c r="R102">
        <v>3.2440200840000002</v>
      </c>
      <c r="S102" t="e">
        <f t="shared" si="3"/>
        <v>#N/A</v>
      </c>
      <c r="T102" s="3">
        <f t="shared" si="2"/>
        <v>0</v>
      </c>
    </row>
    <row r="103" spans="1:20" x14ac:dyDescent="0.3">
      <c r="A103">
        <f>1+A101</f>
        <v>51</v>
      </c>
      <c r="B103" t="s">
        <v>48</v>
      </c>
      <c r="C103" t="s">
        <v>73</v>
      </c>
      <c r="D103" t="s">
        <v>11</v>
      </c>
      <c r="E103" t="s">
        <v>74</v>
      </c>
      <c r="F103" s="2">
        <v>109</v>
      </c>
      <c r="G103">
        <v>2009</v>
      </c>
      <c r="H103">
        <v>10</v>
      </c>
      <c r="I103">
        <v>1334.0476184132399</v>
      </c>
      <c r="J103">
        <v>8.5184999988996007E-3</v>
      </c>
      <c r="K103">
        <v>2882</v>
      </c>
      <c r="L103">
        <v>2</v>
      </c>
      <c r="M103">
        <v>1496.2857787288799</v>
      </c>
      <c r="N103">
        <v>6.7363749985815003E-3</v>
      </c>
      <c r="O103">
        <v>400</v>
      </c>
      <c r="P103">
        <v>8</v>
      </c>
      <c r="Q103">
        <v>1360.247282</v>
      </c>
      <c r="R103">
        <v>0.16542116600000001</v>
      </c>
      <c r="S103" t="e">
        <f t="shared" si="3"/>
        <v>#N/A</v>
      </c>
      <c r="T103" s="3">
        <f t="shared" si="2"/>
        <v>0</v>
      </c>
    </row>
    <row r="104" spans="1:20" x14ac:dyDescent="0.3">
      <c r="B104" t="s">
        <v>48</v>
      </c>
      <c r="C104" t="s">
        <v>73</v>
      </c>
      <c r="D104" t="s">
        <v>13</v>
      </c>
      <c r="E104" t="s">
        <v>74</v>
      </c>
      <c r="F104" s="2">
        <v>109</v>
      </c>
      <c r="G104">
        <v>2009</v>
      </c>
      <c r="H104">
        <v>10</v>
      </c>
      <c r="I104">
        <v>8281.2237677292396</v>
      </c>
      <c r="J104">
        <v>1.0369332998379799E-2</v>
      </c>
      <c r="K104">
        <v>198</v>
      </c>
      <c r="L104">
        <v>6</v>
      </c>
      <c r="M104">
        <v>6846.0479699908801</v>
      </c>
      <c r="N104">
        <v>8.1787499948400002E-4</v>
      </c>
      <c r="O104">
        <v>400</v>
      </c>
      <c r="P104">
        <v>7</v>
      </c>
      <c r="Q104">
        <v>7744.2302</v>
      </c>
      <c r="R104">
        <v>0.15863550000000001</v>
      </c>
      <c r="S104" t="e">
        <f t="shared" si="3"/>
        <v>#N/A</v>
      </c>
      <c r="T104" s="3">
        <f t="shared" si="2"/>
        <v>0</v>
      </c>
    </row>
    <row r="105" spans="1:20" x14ac:dyDescent="0.3">
      <c r="A105">
        <f>1+A103</f>
        <v>52</v>
      </c>
      <c r="B105" t="s">
        <v>48</v>
      </c>
      <c r="C105" t="s">
        <v>73</v>
      </c>
      <c r="D105" t="s">
        <v>11</v>
      </c>
      <c r="E105" t="s">
        <v>75</v>
      </c>
      <c r="F105" s="2">
        <v>106</v>
      </c>
      <c r="G105">
        <v>1748</v>
      </c>
      <c r="H105">
        <v>10</v>
      </c>
      <c r="I105">
        <v>1074.39090906209</v>
      </c>
      <c r="J105">
        <v>7.3492090014042003E-3</v>
      </c>
      <c r="K105">
        <v>2480</v>
      </c>
      <c r="L105">
        <v>3</v>
      </c>
      <c r="M105">
        <v>1158.33857010322</v>
      </c>
      <c r="N105">
        <v>5.5582499990123003E-3</v>
      </c>
      <c r="O105">
        <v>400</v>
      </c>
      <c r="P105">
        <v>6</v>
      </c>
      <c r="Q105">
        <v>1107.7196269999999</v>
      </c>
      <c r="R105">
        <v>0.157054791</v>
      </c>
      <c r="S105" t="e">
        <f t="shared" si="3"/>
        <v>#N/A</v>
      </c>
      <c r="T105" s="3">
        <f t="shared" si="2"/>
        <v>0</v>
      </c>
    </row>
    <row r="106" spans="1:20" x14ac:dyDescent="0.3">
      <c r="B106" t="s">
        <v>48</v>
      </c>
      <c r="C106" t="s">
        <v>73</v>
      </c>
      <c r="D106" t="s">
        <v>13</v>
      </c>
      <c r="E106" t="s">
        <v>75</v>
      </c>
      <c r="F106" s="2">
        <v>106</v>
      </c>
      <c r="G106">
        <v>1748</v>
      </c>
      <c r="H106">
        <v>10</v>
      </c>
      <c r="I106">
        <v>2561.76024778803</v>
      </c>
      <c r="J106">
        <v>8.9937500015366007E-3</v>
      </c>
      <c r="K106">
        <v>192</v>
      </c>
      <c r="L106">
        <v>1</v>
      </c>
      <c r="M106">
        <v>1318.55834876789</v>
      </c>
      <c r="N106">
        <v>7.0645900268569996E-4</v>
      </c>
      <c r="O106">
        <v>400</v>
      </c>
      <c r="P106">
        <v>5</v>
      </c>
      <c r="Q106">
        <v>2278.5320569999999</v>
      </c>
      <c r="R106">
        <v>0.13701495899999999</v>
      </c>
      <c r="S106" t="e">
        <f t="shared" si="3"/>
        <v>#N/A</v>
      </c>
      <c r="T106" s="3">
        <f t="shared" si="2"/>
        <v>0</v>
      </c>
    </row>
    <row r="107" spans="1:20" x14ac:dyDescent="0.3">
      <c r="A107">
        <f>1+A105</f>
        <v>53</v>
      </c>
      <c r="B107" t="s">
        <v>48</v>
      </c>
      <c r="C107" t="s">
        <v>73</v>
      </c>
      <c r="D107" t="s">
        <v>11</v>
      </c>
      <c r="E107" t="s">
        <v>76</v>
      </c>
      <c r="F107" s="2">
        <v>106</v>
      </c>
      <c r="G107">
        <v>1748</v>
      </c>
      <c r="H107">
        <v>10</v>
      </c>
      <c r="I107">
        <v>1415.2243072554099</v>
      </c>
      <c r="J107">
        <v>7.4045410001416997E-3</v>
      </c>
      <c r="K107">
        <v>2743</v>
      </c>
      <c r="L107">
        <v>3</v>
      </c>
      <c r="M107">
        <v>1526.8630593258899</v>
      </c>
      <c r="N107">
        <v>6.1782090015185002E-3</v>
      </c>
      <c r="O107">
        <v>400</v>
      </c>
      <c r="P107">
        <v>8</v>
      </c>
      <c r="Q107">
        <v>1456.034866</v>
      </c>
      <c r="R107">
        <v>0.17529420800000001</v>
      </c>
      <c r="S107" t="e">
        <f t="shared" si="3"/>
        <v>#N/A</v>
      </c>
      <c r="T107" s="3">
        <f t="shared" si="2"/>
        <v>0</v>
      </c>
    </row>
    <row r="108" spans="1:20" x14ac:dyDescent="0.3">
      <c r="B108" t="s">
        <v>48</v>
      </c>
      <c r="C108" t="s">
        <v>73</v>
      </c>
      <c r="D108" t="s">
        <v>13</v>
      </c>
      <c r="E108" t="s">
        <v>76</v>
      </c>
      <c r="F108" s="2">
        <v>106</v>
      </c>
      <c r="G108">
        <v>1748</v>
      </c>
      <c r="H108">
        <v>10</v>
      </c>
      <c r="I108">
        <v>13380.1673750831</v>
      </c>
      <c r="J108">
        <v>8.8933330007421006E-3</v>
      </c>
      <c r="K108">
        <v>203</v>
      </c>
      <c r="L108">
        <v>4</v>
      </c>
      <c r="M108">
        <v>9299.1522139207591</v>
      </c>
      <c r="N108">
        <v>7.6420899858929995E-4</v>
      </c>
      <c r="O108">
        <v>400</v>
      </c>
      <c r="P108">
        <v>9</v>
      </c>
      <c r="Q108">
        <v>12872.069810000001</v>
      </c>
      <c r="R108">
        <v>0.225945917</v>
      </c>
      <c r="S108" t="e">
        <f t="shared" si="3"/>
        <v>#N/A</v>
      </c>
      <c r="T108" s="3">
        <f t="shared" si="2"/>
        <v>0</v>
      </c>
    </row>
    <row r="109" spans="1:20" x14ac:dyDescent="0.3">
      <c r="A109">
        <f>1+A107</f>
        <v>54</v>
      </c>
      <c r="B109" t="s">
        <v>48</v>
      </c>
      <c r="C109" t="s">
        <v>73</v>
      </c>
      <c r="D109" t="s">
        <v>11</v>
      </c>
      <c r="E109" t="s">
        <v>77</v>
      </c>
      <c r="F109" s="2">
        <v>106</v>
      </c>
      <c r="G109">
        <v>1748</v>
      </c>
      <c r="H109">
        <v>10</v>
      </c>
      <c r="I109">
        <v>774.64378807948503</v>
      </c>
      <c r="J109">
        <v>7.4106249994655999E-3</v>
      </c>
      <c r="K109">
        <v>2240</v>
      </c>
      <c r="L109">
        <v>5</v>
      </c>
      <c r="M109">
        <v>841.78181360803296</v>
      </c>
      <c r="N109">
        <v>5.1613340001495003E-3</v>
      </c>
      <c r="O109">
        <v>400</v>
      </c>
      <c r="P109">
        <v>8</v>
      </c>
      <c r="Q109">
        <v>794.85705129999997</v>
      </c>
      <c r="R109">
        <v>0.169533667</v>
      </c>
      <c r="S109" t="e">
        <f t="shared" si="3"/>
        <v>#N/A</v>
      </c>
      <c r="T109" s="3">
        <f t="shared" si="2"/>
        <v>0</v>
      </c>
    </row>
    <row r="110" spans="1:20" x14ac:dyDescent="0.3">
      <c r="B110" t="s">
        <v>48</v>
      </c>
      <c r="C110" t="s">
        <v>73</v>
      </c>
      <c r="D110" t="s">
        <v>13</v>
      </c>
      <c r="E110" t="s">
        <v>77</v>
      </c>
      <c r="F110" s="2">
        <v>106</v>
      </c>
      <c r="G110">
        <v>1748</v>
      </c>
      <c r="H110">
        <v>10</v>
      </c>
      <c r="I110">
        <v>662.97273393928197</v>
      </c>
      <c r="J110">
        <v>9.0287909988545998E-3</v>
      </c>
      <c r="K110">
        <v>743</v>
      </c>
      <c r="L110">
        <v>4</v>
      </c>
      <c r="M110">
        <v>622.10149543123202</v>
      </c>
      <c r="N110">
        <v>2.5084999979299001E-3</v>
      </c>
      <c r="O110">
        <v>400</v>
      </c>
      <c r="P110">
        <v>7</v>
      </c>
      <c r="Q110">
        <v>705.62177910000003</v>
      </c>
      <c r="R110">
        <v>0.15759524999999999</v>
      </c>
      <c r="S110" t="e">
        <f t="shared" si="3"/>
        <v>#N/A</v>
      </c>
      <c r="T110" s="3">
        <f t="shared" si="2"/>
        <v>0</v>
      </c>
    </row>
    <row r="111" spans="1:20" x14ac:dyDescent="0.3">
      <c r="A111">
        <f>1+A109</f>
        <v>55</v>
      </c>
      <c r="B111" t="s">
        <v>48</v>
      </c>
      <c r="C111" t="s">
        <v>73</v>
      </c>
      <c r="D111" t="s">
        <v>11</v>
      </c>
      <c r="E111" t="s">
        <v>78</v>
      </c>
      <c r="F111" s="2">
        <v>737</v>
      </c>
      <c r="G111">
        <v>254779</v>
      </c>
      <c r="H111">
        <v>10</v>
      </c>
      <c r="I111">
        <v>7671.1611359237604</v>
      </c>
      <c r="J111">
        <v>2.4635124160013202</v>
      </c>
      <c r="K111">
        <v>44319</v>
      </c>
      <c r="L111">
        <v>9</v>
      </c>
      <c r="M111">
        <v>7705.1575888161797</v>
      </c>
      <c r="N111">
        <v>0.100491875000443</v>
      </c>
      <c r="O111">
        <v>400</v>
      </c>
      <c r="P111">
        <v>22</v>
      </c>
      <c r="Q111">
        <v>7513.1110639999997</v>
      </c>
      <c r="R111">
        <v>2.6288131250000002</v>
      </c>
      <c r="S111" t="e">
        <f t="shared" si="3"/>
        <v>#N/A</v>
      </c>
      <c r="T111" s="3">
        <f t="shared" si="2"/>
        <v>0</v>
      </c>
    </row>
    <row r="112" spans="1:20" x14ac:dyDescent="0.3">
      <c r="B112" t="s">
        <v>48</v>
      </c>
      <c r="C112" t="s">
        <v>73</v>
      </c>
      <c r="D112" t="s">
        <v>13</v>
      </c>
      <c r="E112" t="s">
        <v>78</v>
      </c>
      <c r="F112" s="2">
        <v>737</v>
      </c>
      <c r="G112">
        <v>254779</v>
      </c>
      <c r="H112">
        <v>10</v>
      </c>
      <c r="I112">
        <v>3951.0313646981099</v>
      </c>
      <c r="J112">
        <v>2.7550526669983801</v>
      </c>
      <c r="K112">
        <v>1510</v>
      </c>
      <c r="L112">
        <v>4</v>
      </c>
      <c r="M112">
        <v>4081.8287171232701</v>
      </c>
      <c r="N112">
        <v>5.3393749985843003E-3</v>
      </c>
      <c r="O112">
        <v>400</v>
      </c>
      <c r="P112">
        <v>9</v>
      </c>
      <c r="Q112">
        <v>4718.7797899999996</v>
      </c>
      <c r="R112">
        <v>2.1130366249999999</v>
      </c>
      <c r="S112" t="e">
        <f t="shared" si="3"/>
        <v>#N/A</v>
      </c>
      <c r="T112" s="3">
        <f t="shared" si="2"/>
        <v>0</v>
      </c>
    </row>
    <row r="113" spans="1:20" x14ac:dyDescent="0.3">
      <c r="A113">
        <f>1+A111</f>
        <v>56</v>
      </c>
      <c r="B113" t="s">
        <v>48</v>
      </c>
      <c r="C113" t="s">
        <v>79</v>
      </c>
      <c r="D113" t="s">
        <v>11</v>
      </c>
      <c r="E113" t="s">
        <v>80</v>
      </c>
      <c r="F113" s="2">
        <v>180</v>
      </c>
      <c r="G113">
        <v>10813</v>
      </c>
      <c r="H113">
        <v>10</v>
      </c>
      <c r="I113">
        <v>1476.27561241121</v>
      </c>
      <c r="J113">
        <v>5.5752707998180898E-2</v>
      </c>
      <c r="K113">
        <v>5402</v>
      </c>
      <c r="L113">
        <v>7</v>
      </c>
      <c r="M113">
        <v>1553.7848638042999</v>
      </c>
      <c r="N113">
        <v>1.21626250002009E-2</v>
      </c>
      <c r="O113">
        <v>400</v>
      </c>
      <c r="P113">
        <v>16</v>
      </c>
      <c r="Q113">
        <v>1418.9909540000001</v>
      </c>
      <c r="R113">
        <v>0.41765200000000002</v>
      </c>
      <c r="S113" t="e">
        <f t="shared" si="3"/>
        <v>#N/A</v>
      </c>
      <c r="T113" s="3">
        <f t="shared" si="2"/>
        <v>0</v>
      </c>
    </row>
    <row r="114" spans="1:20" x14ac:dyDescent="0.3">
      <c r="B114" t="s">
        <v>48</v>
      </c>
      <c r="C114" t="s">
        <v>79</v>
      </c>
      <c r="D114" t="s">
        <v>13</v>
      </c>
      <c r="E114" t="s">
        <v>80</v>
      </c>
      <c r="F114" s="2">
        <v>180</v>
      </c>
      <c r="G114">
        <v>10813</v>
      </c>
      <c r="H114">
        <v>10</v>
      </c>
      <c r="I114">
        <v>1085.5275015542099</v>
      </c>
      <c r="J114">
        <v>6.7882958999689394E-2</v>
      </c>
      <c r="K114">
        <v>433</v>
      </c>
      <c r="L114">
        <v>1</v>
      </c>
      <c r="M114">
        <v>710.89126242620705</v>
      </c>
      <c r="N114">
        <v>1.5498329994443E-3</v>
      </c>
      <c r="O114">
        <v>400</v>
      </c>
      <c r="P114">
        <v>15</v>
      </c>
      <c r="Q114">
        <v>1409.2017760000001</v>
      </c>
      <c r="R114">
        <v>0.54460175</v>
      </c>
      <c r="S114" t="e">
        <f t="shared" si="3"/>
        <v>#N/A</v>
      </c>
      <c r="T114" s="3">
        <f t="shared" si="2"/>
        <v>0</v>
      </c>
    </row>
    <row r="115" spans="1:20" x14ac:dyDescent="0.3">
      <c r="A115">
        <f>1+A113</f>
        <v>57</v>
      </c>
      <c r="B115" t="s">
        <v>48</v>
      </c>
      <c r="C115" t="s">
        <v>79</v>
      </c>
      <c r="D115" t="s">
        <v>11</v>
      </c>
      <c r="E115" t="s">
        <v>81</v>
      </c>
      <c r="F115" s="2">
        <v>177</v>
      </c>
      <c r="G115">
        <v>10339</v>
      </c>
      <c r="H115">
        <v>10</v>
      </c>
      <c r="I115">
        <v>1553.17603289257</v>
      </c>
      <c r="J115">
        <v>5.4449916999146801E-2</v>
      </c>
      <c r="K115">
        <v>6475</v>
      </c>
      <c r="L115">
        <v>4</v>
      </c>
      <c r="M115">
        <v>1676.8045600518401</v>
      </c>
      <c r="N115">
        <v>1.46314999983587E-2</v>
      </c>
      <c r="O115">
        <v>400</v>
      </c>
      <c r="P115">
        <v>10</v>
      </c>
      <c r="Q115">
        <v>1570.4285130000001</v>
      </c>
      <c r="R115">
        <v>0.37996691700000002</v>
      </c>
      <c r="S115">
        <f t="shared" si="3"/>
        <v>1.1107871704213576E-2</v>
      </c>
      <c r="T115" s="3">
        <f t="shared" si="2"/>
        <v>0</v>
      </c>
    </row>
    <row r="116" spans="1:20" x14ac:dyDescent="0.3">
      <c r="B116" t="s">
        <v>48</v>
      </c>
      <c r="C116" t="s">
        <v>79</v>
      </c>
      <c r="D116" t="s">
        <v>13</v>
      </c>
      <c r="E116" t="s">
        <v>81</v>
      </c>
      <c r="F116" s="2">
        <v>177</v>
      </c>
      <c r="G116">
        <v>10339</v>
      </c>
      <c r="H116">
        <v>10</v>
      </c>
      <c r="I116">
        <v>1732.61714087935</v>
      </c>
      <c r="J116">
        <v>6.35887499993259E-2</v>
      </c>
      <c r="K116">
        <v>402</v>
      </c>
      <c r="L116">
        <v>3</v>
      </c>
      <c r="M116">
        <v>2024.8769347439099</v>
      </c>
      <c r="N116">
        <v>1.4511250010400001E-3</v>
      </c>
      <c r="O116">
        <v>400</v>
      </c>
      <c r="P116">
        <v>5</v>
      </c>
      <c r="Q116">
        <v>1815.1585050000001</v>
      </c>
      <c r="R116">
        <v>0.299141459</v>
      </c>
      <c r="S116" t="e">
        <f t="shared" si="3"/>
        <v>#N/A</v>
      </c>
      <c r="T116" s="3">
        <f t="shared" si="2"/>
        <v>0</v>
      </c>
    </row>
    <row r="117" spans="1:20" x14ac:dyDescent="0.3">
      <c r="A117">
        <f>1+A115</f>
        <v>58</v>
      </c>
      <c r="B117" t="s">
        <v>48</v>
      </c>
      <c r="C117" t="s">
        <v>79</v>
      </c>
      <c r="D117" t="s">
        <v>11</v>
      </c>
      <c r="E117" t="s">
        <v>82</v>
      </c>
      <c r="F117" s="2">
        <v>122</v>
      </c>
      <c r="G117">
        <v>3244</v>
      </c>
      <c r="H117">
        <v>10</v>
      </c>
      <c r="I117">
        <v>989.08860591427504</v>
      </c>
      <c r="J117">
        <v>1.5516249997745001E-2</v>
      </c>
      <c r="K117">
        <v>4256</v>
      </c>
      <c r="L117">
        <v>4</v>
      </c>
      <c r="M117">
        <v>1073.5211729928601</v>
      </c>
      <c r="N117">
        <v>9.6301670018874002E-3</v>
      </c>
      <c r="O117">
        <v>400</v>
      </c>
      <c r="P117">
        <v>7</v>
      </c>
      <c r="Q117">
        <v>1012.717409</v>
      </c>
      <c r="R117">
        <v>0.28777579199999997</v>
      </c>
      <c r="S117" t="e">
        <f t="shared" si="3"/>
        <v>#N/A</v>
      </c>
      <c r="T117" s="3">
        <f t="shared" si="2"/>
        <v>0</v>
      </c>
    </row>
    <row r="118" spans="1:20" x14ac:dyDescent="0.3">
      <c r="B118" t="s">
        <v>48</v>
      </c>
      <c r="C118" t="s">
        <v>79</v>
      </c>
      <c r="D118" t="s">
        <v>13</v>
      </c>
      <c r="E118" t="s">
        <v>82</v>
      </c>
      <c r="F118" s="2">
        <v>122</v>
      </c>
      <c r="G118">
        <v>3244</v>
      </c>
      <c r="H118">
        <v>10</v>
      </c>
      <c r="I118">
        <v>1045.5430101521499</v>
      </c>
      <c r="J118">
        <v>1.7430459000024701E-2</v>
      </c>
      <c r="K118">
        <v>539</v>
      </c>
      <c r="L118">
        <v>2</v>
      </c>
      <c r="M118">
        <v>540.031406168545</v>
      </c>
      <c r="N118">
        <v>1.8559580021246E-3</v>
      </c>
      <c r="O118">
        <v>400</v>
      </c>
      <c r="P118">
        <v>6</v>
      </c>
      <c r="Q118">
        <v>733.48936760000004</v>
      </c>
      <c r="R118">
        <v>0.29022720800000001</v>
      </c>
      <c r="S118" t="e">
        <f t="shared" si="3"/>
        <v>#N/A</v>
      </c>
      <c r="T118" s="3">
        <f t="shared" si="2"/>
        <v>0</v>
      </c>
    </row>
    <row r="119" spans="1:20" x14ac:dyDescent="0.3">
      <c r="A119">
        <f>1+A117</f>
        <v>59</v>
      </c>
      <c r="B119" t="s">
        <v>48</v>
      </c>
      <c r="C119" t="s">
        <v>79</v>
      </c>
      <c r="D119" t="s">
        <v>11</v>
      </c>
      <c r="E119" t="s">
        <v>83</v>
      </c>
      <c r="F119" s="2">
        <v>122</v>
      </c>
      <c r="G119">
        <v>3244</v>
      </c>
      <c r="H119">
        <v>10</v>
      </c>
      <c r="I119">
        <v>512.30950924021204</v>
      </c>
      <c r="J119">
        <v>1.7185041997436201E-2</v>
      </c>
      <c r="K119">
        <v>2549</v>
      </c>
      <c r="L119">
        <v>7</v>
      </c>
      <c r="M119">
        <v>599.15468542375697</v>
      </c>
      <c r="N119">
        <v>5.9325410002202001E-3</v>
      </c>
      <c r="O119">
        <v>400</v>
      </c>
      <c r="P119">
        <v>10</v>
      </c>
      <c r="Q119">
        <v>573.1924841</v>
      </c>
      <c r="R119">
        <v>0.20749187499999999</v>
      </c>
      <c r="S119">
        <f t="shared" si="3"/>
        <v>0.11884022014364194</v>
      </c>
      <c r="T119" s="3">
        <f t="shared" si="2"/>
        <v>0</v>
      </c>
    </row>
    <row r="120" spans="1:20" x14ac:dyDescent="0.3">
      <c r="B120" t="s">
        <v>48</v>
      </c>
      <c r="C120" t="s">
        <v>79</v>
      </c>
      <c r="D120" t="s">
        <v>13</v>
      </c>
      <c r="E120" t="s">
        <v>83</v>
      </c>
      <c r="F120" s="2">
        <v>122</v>
      </c>
      <c r="G120">
        <v>3244</v>
      </c>
      <c r="H120">
        <v>10</v>
      </c>
      <c r="I120">
        <v>176.131218203586</v>
      </c>
      <c r="J120">
        <v>1.7372041002090499E-2</v>
      </c>
      <c r="K120">
        <v>1000</v>
      </c>
      <c r="L120">
        <v>2</v>
      </c>
      <c r="M120">
        <v>232.67897622907401</v>
      </c>
      <c r="N120">
        <v>3.3882499992614E-3</v>
      </c>
      <c r="O120">
        <v>400</v>
      </c>
      <c r="P120">
        <v>8</v>
      </c>
      <c r="Q120">
        <v>211.45818600000001</v>
      </c>
      <c r="R120">
        <v>0.193742833</v>
      </c>
      <c r="S120" t="e">
        <f t="shared" si="3"/>
        <v>#N/A</v>
      </c>
      <c r="T120" s="3">
        <f t="shared" si="2"/>
        <v>0</v>
      </c>
    </row>
    <row r="121" spans="1:20" x14ac:dyDescent="0.3">
      <c r="A121">
        <f>1+A119</f>
        <v>60</v>
      </c>
      <c r="B121" t="s">
        <v>48</v>
      </c>
      <c r="C121" t="s">
        <v>79</v>
      </c>
      <c r="D121" t="s">
        <v>11</v>
      </c>
      <c r="E121" t="s">
        <v>84</v>
      </c>
      <c r="F121" s="2">
        <v>701</v>
      </c>
      <c r="G121">
        <v>229633</v>
      </c>
      <c r="H121">
        <v>10</v>
      </c>
      <c r="I121">
        <v>5609.7369338859198</v>
      </c>
      <c r="J121">
        <v>2.2591012080010802</v>
      </c>
      <c r="K121">
        <v>18293</v>
      </c>
      <c r="L121">
        <v>28</v>
      </c>
      <c r="M121">
        <v>4685.8555701611704</v>
      </c>
      <c r="N121">
        <v>4.7971042000426602E-2</v>
      </c>
      <c r="O121">
        <v>400</v>
      </c>
      <c r="P121">
        <v>51</v>
      </c>
      <c r="Q121">
        <v>4195.5930760000001</v>
      </c>
      <c r="R121">
        <v>2.4615348749999999</v>
      </c>
      <c r="S121" t="e">
        <f t="shared" si="3"/>
        <v>#N/A</v>
      </c>
      <c r="T121" s="3">
        <f t="shared" si="2"/>
        <v>0</v>
      </c>
    </row>
    <row r="122" spans="1:20" x14ac:dyDescent="0.3">
      <c r="B122" t="s">
        <v>48</v>
      </c>
      <c r="C122" t="s">
        <v>79</v>
      </c>
      <c r="D122" t="s">
        <v>13</v>
      </c>
      <c r="E122" t="s">
        <v>84</v>
      </c>
      <c r="F122" s="2">
        <v>701</v>
      </c>
      <c r="G122">
        <v>229633</v>
      </c>
      <c r="H122">
        <v>10</v>
      </c>
      <c r="I122">
        <v>1652.9508119070099</v>
      </c>
      <c r="J122">
        <v>2.4556523749997701</v>
      </c>
      <c r="K122">
        <v>4338</v>
      </c>
      <c r="L122">
        <v>9</v>
      </c>
      <c r="M122">
        <v>1765.66944363881</v>
      </c>
      <c r="N122">
        <v>1.49165830007405E-2</v>
      </c>
      <c r="O122">
        <v>400</v>
      </c>
      <c r="P122">
        <v>31</v>
      </c>
      <c r="Q122">
        <v>1927.7523349999999</v>
      </c>
      <c r="R122">
        <v>2.1874265419999999</v>
      </c>
      <c r="S122" t="e">
        <f t="shared" si="3"/>
        <v>#N/A</v>
      </c>
      <c r="T122" s="3">
        <f t="shared" si="2"/>
        <v>0</v>
      </c>
    </row>
    <row r="123" spans="1:20" x14ac:dyDescent="0.3">
      <c r="A123">
        <f>1+A121</f>
        <v>61</v>
      </c>
      <c r="B123" t="s">
        <v>85</v>
      </c>
      <c r="C123" t="s">
        <v>55</v>
      </c>
      <c r="D123" t="s">
        <v>11</v>
      </c>
      <c r="E123" t="s">
        <v>86</v>
      </c>
      <c r="F123" s="2">
        <v>253</v>
      </c>
      <c r="G123">
        <v>25121</v>
      </c>
      <c r="H123">
        <v>10</v>
      </c>
      <c r="I123">
        <v>237.49599195056999</v>
      </c>
      <c r="J123">
        <v>0.17322595799851101</v>
      </c>
      <c r="K123">
        <v>9120</v>
      </c>
      <c r="L123">
        <v>7</v>
      </c>
      <c r="M123">
        <v>341.68928982818898</v>
      </c>
      <c r="N123">
        <v>2.0226708998961802E-2</v>
      </c>
      <c r="O123">
        <v>400</v>
      </c>
      <c r="P123">
        <v>21</v>
      </c>
      <c r="Q123">
        <v>122.8519257</v>
      </c>
      <c r="R123">
        <v>0.64815141700000001</v>
      </c>
      <c r="S123" t="e">
        <f t="shared" si="3"/>
        <v>#N/A</v>
      </c>
      <c r="T123" s="3">
        <f t="shared" si="2"/>
        <v>0</v>
      </c>
    </row>
    <row r="124" spans="1:20" x14ac:dyDescent="0.3">
      <c r="B124" t="s">
        <v>85</v>
      </c>
      <c r="C124" t="s">
        <v>55</v>
      </c>
      <c r="D124" t="s">
        <v>13</v>
      </c>
      <c r="E124" t="s">
        <v>86</v>
      </c>
      <c r="F124" s="2">
        <v>253</v>
      </c>
      <c r="G124">
        <v>25121</v>
      </c>
      <c r="H124">
        <v>10</v>
      </c>
      <c r="I124">
        <v>31.667456231775901</v>
      </c>
      <c r="J124">
        <v>0.17124729200077099</v>
      </c>
      <c r="K124">
        <v>1456</v>
      </c>
      <c r="L124">
        <v>1</v>
      </c>
      <c r="M124">
        <v>32.553370450994002</v>
      </c>
      <c r="N124">
        <v>4.7352920009870996E-3</v>
      </c>
      <c r="O124">
        <v>400</v>
      </c>
      <c r="P124">
        <v>3</v>
      </c>
      <c r="Q124">
        <v>34.826681360000002</v>
      </c>
      <c r="R124">
        <v>0.35832429199999999</v>
      </c>
      <c r="S124" t="e">
        <f t="shared" si="3"/>
        <v>#N/A</v>
      </c>
      <c r="T124" s="3">
        <f t="shared" si="2"/>
        <v>0</v>
      </c>
    </row>
    <row r="125" spans="1:20" x14ac:dyDescent="0.3">
      <c r="A125">
        <f>1+A123</f>
        <v>62</v>
      </c>
      <c r="B125" t="s">
        <v>85</v>
      </c>
      <c r="C125" t="s">
        <v>55</v>
      </c>
      <c r="D125" t="s">
        <v>11</v>
      </c>
      <c r="E125" t="s">
        <v>87</v>
      </c>
      <c r="F125" s="2">
        <v>265</v>
      </c>
      <c r="G125">
        <v>27983</v>
      </c>
      <c r="H125">
        <v>10</v>
      </c>
      <c r="I125">
        <v>509.48857112803501</v>
      </c>
      <c r="J125">
        <v>0.19290624999848599</v>
      </c>
      <c r="K125">
        <v>9470</v>
      </c>
      <c r="L125">
        <v>8</v>
      </c>
      <c r="M125">
        <v>573.13358557472395</v>
      </c>
      <c r="N125">
        <v>2.16605829991749E-2</v>
      </c>
      <c r="O125">
        <v>400</v>
      </c>
      <c r="P125">
        <v>16</v>
      </c>
      <c r="Q125">
        <v>379.66581980000001</v>
      </c>
      <c r="R125">
        <v>0.75765824999999998</v>
      </c>
      <c r="S125" t="e">
        <f t="shared" si="3"/>
        <v>#N/A</v>
      </c>
      <c r="T125" s="3">
        <f t="shared" si="2"/>
        <v>0</v>
      </c>
    </row>
    <row r="126" spans="1:20" x14ac:dyDescent="0.3">
      <c r="B126" t="s">
        <v>85</v>
      </c>
      <c r="C126" t="s">
        <v>55</v>
      </c>
      <c r="D126" t="s">
        <v>13</v>
      </c>
      <c r="E126" t="s">
        <v>87</v>
      </c>
      <c r="F126" s="2">
        <v>265</v>
      </c>
      <c r="G126">
        <v>27983</v>
      </c>
      <c r="H126">
        <v>10</v>
      </c>
      <c r="I126">
        <v>46.497864325317202</v>
      </c>
      <c r="J126">
        <v>0.19343833300081301</v>
      </c>
      <c r="K126">
        <v>934</v>
      </c>
      <c r="L126">
        <v>1</v>
      </c>
      <c r="M126">
        <v>36.630157722889898</v>
      </c>
      <c r="N126">
        <v>3.1193750000966E-3</v>
      </c>
      <c r="O126">
        <v>400</v>
      </c>
      <c r="P126">
        <v>3</v>
      </c>
      <c r="Q126">
        <v>51.847117259999997</v>
      </c>
      <c r="R126">
        <v>0.33276404100000001</v>
      </c>
      <c r="S126" t="e">
        <f t="shared" si="3"/>
        <v>#N/A</v>
      </c>
      <c r="T126" s="3">
        <f t="shared" si="2"/>
        <v>0</v>
      </c>
    </row>
    <row r="127" spans="1:20" x14ac:dyDescent="0.3">
      <c r="A127">
        <f>1+A125</f>
        <v>63</v>
      </c>
      <c r="B127" t="s">
        <v>85</v>
      </c>
      <c r="C127" t="s">
        <v>55</v>
      </c>
      <c r="D127" t="s">
        <v>11</v>
      </c>
      <c r="E127" t="s">
        <v>88</v>
      </c>
      <c r="F127" s="2">
        <v>253</v>
      </c>
      <c r="G127">
        <v>25121</v>
      </c>
      <c r="H127">
        <v>10</v>
      </c>
      <c r="I127">
        <v>-718.84661716963603</v>
      </c>
      <c r="J127">
        <v>0.17197679200034999</v>
      </c>
      <c r="K127">
        <v>6436</v>
      </c>
      <c r="L127">
        <v>7</v>
      </c>
      <c r="M127">
        <v>-651.70088755723998</v>
      </c>
      <c r="N127">
        <v>1.8353999999817398E-2</v>
      </c>
      <c r="O127">
        <v>400</v>
      </c>
      <c r="P127">
        <v>19</v>
      </c>
      <c r="Q127">
        <v>-829.23183819999997</v>
      </c>
      <c r="R127">
        <v>0.64181333299999999</v>
      </c>
      <c r="S127" t="e">
        <f t="shared" si="3"/>
        <v>#N/A</v>
      </c>
      <c r="T127" s="3">
        <f t="shared" si="2"/>
        <v>0</v>
      </c>
    </row>
    <row r="128" spans="1:20" x14ac:dyDescent="0.3">
      <c r="B128" t="s">
        <v>85</v>
      </c>
      <c r="C128" t="s">
        <v>55</v>
      </c>
      <c r="D128" t="s">
        <v>13</v>
      </c>
      <c r="E128" t="s">
        <v>88</v>
      </c>
      <c r="F128" s="2">
        <v>253</v>
      </c>
      <c r="G128">
        <v>25121</v>
      </c>
      <c r="H128">
        <v>10</v>
      </c>
      <c r="I128">
        <v>4.1503611356258503</v>
      </c>
      <c r="J128">
        <v>0.172818291001021</v>
      </c>
      <c r="K128">
        <v>3210</v>
      </c>
      <c r="L128">
        <v>1</v>
      </c>
      <c r="M128">
        <v>5.5218923485874098</v>
      </c>
      <c r="N128">
        <v>1.02494169987039E-2</v>
      </c>
      <c r="O128">
        <v>400</v>
      </c>
      <c r="P128">
        <v>1</v>
      </c>
      <c r="Q128">
        <v>5.5218923489999998</v>
      </c>
      <c r="R128">
        <v>0.15477608300000001</v>
      </c>
      <c r="S128" t="e">
        <f t="shared" si="3"/>
        <v>#N/A</v>
      </c>
      <c r="T128" s="3">
        <f t="shared" si="2"/>
        <v>0</v>
      </c>
    </row>
    <row r="129" spans="1:20" x14ac:dyDescent="0.3">
      <c r="A129">
        <f>1+A127</f>
        <v>64</v>
      </c>
      <c r="B129" t="s">
        <v>85</v>
      </c>
      <c r="C129" t="s">
        <v>55</v>
      </c>
      <c r="D129" t="s">
        <v>11</v>
      </c>
      <c r="E129" t="s">
        <v>89</v>
      </c>
      <c r="F129" s="2">
        <v>253</v>
      </c>
      <c r="G129">
        <v>25121</v>
      </c>
      <c r="H129">
        <v>10</v>
      </c>
      <c r="I129">
        <v>-554.27495568354902</v>
      </c>
      <c r="J129">
        <v>0.17318020799939399</v>
      </c>
      <c r="K129">
        <v>8079</v>
      </c>
      <c r="L129">
        <v>6</v>
      </c>
      <c r="M129">
        <v>-417.95573293753</v>
      </c>
      <c r="N129">
        <v>1.8354083000303899E-2</v>
      </c>
      <c r="O129">
        <v>400</v>
      </c>
      <c r="P129">
        <v>19</v>
      </c>
      <c r="Q129">
        <v>-649.95310370000004</v>
      </c>
      <c r="R129">
        <v>0.62032045800000002</v>
      </c>
      <c r="S129" t="e">
        <f t="shared" si="3"/>
        <v>#N/A</v>
      </c>
      <c r="T129" s="3">
        <f t="shared" si="2"/>
        <v>0</v>
      </c>
    </row>
    <row r="130" spans="1:20" x14ac:dyDescent="0.3">
      <c r="B130" t="s">
        <v>85</v>
      </c>
      <c r="C130" t="s">
        <v>55</v>
      </c>
      <c r="D130" t="s">
        <v>13</v>
      </c>
      <c r="E130" t="s">
        <v>89</v>
      </c>
      <c r="F130" s="2">
        <v>253</v>
      </c>
      <c r="G130">
        <v>25121</v>
      </c>
      <c r="H130">
        <v>10</v>
      </c>
      <c r="I130">
        <v>5.6896536127856701</v>
      </c>
      <c r="J130">
        <v>0.17061879200264199</v>
      </c>
      <c r="K130">
        <v>1840</v>
      </c>
      <c r="L130">
        <v>1</v>
      </c>
      <c r="M130">
        <v>6.2991173058393697</v>
      </c>
      <c r="N130">
        <v>5.9377090001362003E-3</v>
      </c>
      <c r="O130">
        <v>400</v>
      </c>
      <c r="P130">
        <v>1</v>
      </c>
      <c r="Q130">
        <v>6.2991173060000003</v>
      </c>
      <c r="R130">
        <v>0.153433084</v>
      </c>
      <c r="S130" t="e">
        <f t="shared" si="3"/>
        <v>#N/A</v>
      </c>
      <c r="T130" s="3">
        <f t="shared" si="2"/>
        <v>0</v>
      </c>
    </row>
    <row r="131" spans="1:20" x14ac:dyDescent="0.3">
      <c r="A131">
        <f>1+A129</f>
        <v>65</v>
      </c>
      <c r="B131" t="s">
        <v>85</v>
      </c>
      <c r="C131" t="s">
        <v>55</v>
      </c>
      <c r="D131" t="s">
        <v>11</v>
      </c>
      <c r="E131" t="s">
        <v>90</v>
      </c>
      <c r="F131" s="2">
        <v>253</v>
      </c>
      <c r="G131">
        <v>25121</v>
      </c>
      <c r="H131">
        <v>10</v>
      </c>
      <c r="I131">
        <v>-426.17317138350597</v>
      </c>
      <c r="J131">
        <v>0.17493020799884099</v>
      </c>
      <c r="K131">
        <v>11039</v>
      </c>
      <c r="L131">
        <v>5</v>
      </c>
      <c r="M131">
        <v>-271.06305628852903</v>
      </c>
      <c r="N131">
        <v>2.48245420007151E-2</v>
      </c>
      <c r="O131">
        <v>400</v>
      </c>
      <c r="P131">
        <v>14</v>
      </c>
      <c r="Q131">
        <v>-492.02303819999997</v>
      </c>
      <c r="R131">
        <v>0.64918879200000001</v>
      </c>
      <c r="S131" t="e">
        <f t="shared" si="3"/>
        <v>#N/A</v>
      </c>
      <c r="T131" s="3">
        <f t="shared" ref="T131:T142" si="4">IF(H131=L131,1,0)</f>
        <v>0</v>
      </c>
    </row>
    <row r="132" spans="1:20" x14ac:dyDescent="0.3">
      <c r="B132" t="s">
        <v>85</v>
      </c>
      <c r="C132" t="s">
        <v>55</v>
      </c>
      <c r="D132" t="s">
        <v>13</v>
      </c>
      <c r="E132" t="s">
        <v>90</v>
      </c>
      <c r="F132" s="2">
        <v>253</v>
      </c>
      <c r="G132">
        <v>25121</v>
      </c>
      <c r="H132">
        <v>10</v>
      </c>
      <c r="I132">
        <v>7.3013243083863602</v>
      </c>
      <c r="J132">
        <v>0.17140687500068399</v>
      </c>
      <c r="K132">
        <v>687</v>
      </c>
      <c r="L132">
        <v>1</v>
      </c>
      <c r="M132">
        <v>5.5028137488536801</v>
      </c>
      <c r="N132">
        <v>2.3464999976567E-3</v>
      </c>
      <c r="O132">
        <v>400</v>
      </c>
      <c r="P132">
        <v>1</v>
      </c>
      <c r="Q132">
        <v>5.5028137490000004</v>
      </c>
      <c r="R132">
        <v>0.15805445900000001</v>
      </c>
      <c r="S132" t="e">
        <f t="shared" ref="S132:S142" si="5">IF(P132=H132,(Q132-I132)/I132,NA())</f>
        <v>#N/A</v>
      </c>
      <c r="T132" s="3">
        <f t="shared" si="4"/>
        <v>0</v>
      </c>
    </row>
    <row r="133" spans="1:20" x14ac:dyDescent="0.3">
      <c r="A133">
        <f>1+A131</f>
        <v>66</v>
      </c>
      <c r="B133" t="s">
        <v>85</v>
      </c>
      <c r="C133" t="s">
        <v>55</v>
      </c>
      <c r="D133" t="s">
        <v>11</v>
      </c>
      <c r="E133" t="s">
        <v>91</v>
      </c>
      <c r="F133" s="2">
        <v>265</v>
      </c>
      <c r="G133">
        <v>27983</v>
      </c>
      <c r="H133">
        <v>10</v>
      </c>
      <c r="I133">
        <v>-411.60512030099397</v>
      </c>
      <c r="J133">
        <v>0.165446333001455</v>
      </c>
      <c r="K133">
        <v>8620</v>
      </c>
      <c r="L133">
        <v>8</v>
      </c>
      <c r="M133">
        <v>-345.298861218497</v>
      </c>
      <c r="N133">
        <v>1.9415292001212898E-2</v>
      </c>
      <c r="O133">
        <v>400</v>
      </c>
      <c r="P133">
        <v>17</v>
      </c>
      <c r="Q133">
        <v>-528.20126089999997</v>
      </c>
      <c r="R133">
        <v>0.71666079100000002</v>
      </c>
      <c r="S133" t="e">
        <f t="shared" si="5"/>
        <v>#N/A</v>
      </c>
      <c r="T133" s="3">
        <f t="shared" si="4"/>
        <v>0</v>
      </c>
    </row>
    <row r="134" spans="1:20" x14ac:dyDescent="0.3">
      <c r="B134" t="s">
        <v>85</v>
      </c>
      <c r="C134" t="s">
        <v>55</v>
      </c>
      <c r="D134" t="s">
        <v>13</v>
      </c>
      <c r="E134" t="s">
        <v>91</v>
      </c>
      <c r="F134" s="2">
        <v>265</v>
      </c>
      <c r="G134">
        <v>27983</v>
      </c>
      <c r="H134">
        <v>10</v>
      </c>
      <c r="I134">
        <v>8.0001509308719303</v>
      </c>
      <c r="J134">
        <v>0.19373416699818299</v>
      </c>
      <c r="K134">
        <v>1147</v>
      </c>
      <c r="L134">
        <v>1</v>
      </c>
      <c r="M134">
        <v>5.0333755227838601</v>
      </c>
      <c r="N134">
        <v>3.7437499995576001E-3</v>
      </c>
      <c r="O134">
        <v>400</v>
      </c>
      <c r="P134">
        <v>1</v>
      </c>
      <c r="Q134">
        <v>5.0333755230000001</v>
      </c>
      <c r="R134">
        <v>0.15834791600000001</v>
      </c>
      <c r="S134" t="e">
        <f t="shared" si="5"/>
        <v>#N/A</v>
      </c>
      <c r="T134" s="3">
        <f t="shared" si="4"/>
        <v>0</v>
      </c>
    </row>
    <row r="135" spans="1:20" x14ac:dyDescent="0.3">
      <c r="A135">
        <f>1+A133</f>
        <v>67</v>
      </c>
      <c r="B135" t="s">
        <v>85</v>
      </c>
      <c r="C135" t="s">
        <v>55</v>
      </c>
      <c r="D135" t="s">
        <v>11</v>
      </c>
      <c r="E135" t="s">
        <v>92</v>
      </c>
      <c r="F135" s="2">
        <v>253</v>
      </c>
      <c r="G135">
        <v>25121</v>
      </c>
      <c r="H135">
        <v>10</v>
      </c>
      <c r="I135">
        <v>94.308233664354603</v>
      </c>
      <c r="J135">
        <v>0.14558420899993499</v>
      </c>
      <c r="K135">
        <v>8882</v>
      </c>
      <c r="L135">
        <v>6</v>
      </c>
      <c r="M135">
        <v>213.33504255518099</v>
      </c>
      <c r="N135">
        <v>1.9971917001384999E-2</v>
      </c>
      <c r="O135">
        <v>400</v>
      </c>
      <c r="P135">
        <v>16</v>
      </c>
      <c r="Q135">
        <v>27.336195060000001</v>
      </c>
      <c r="R135">
        <v>0.71170591599999999</v>
      </c>
      <c r="S135" t="e">
        <f t="shared" si="5"/>
        <v>#N/A</v>
      </c>
      <c r="T135" s="3">
        <f t="shared" si="4"/>
        <v>0</v>
      </c>
    </row>
    <row r="136" spans="1:20" x14ac:dyDescent="0.3">
      <c r="B136" t="s">
        <v>85</v>
      </c>
      <c r="C136" t="s">
        <v>55</v>
      </c>
      <c r="D136" t="s">
        <v>13</v>
      </c>
      <c r="E136" t="s">
        <v>92</v>
      </c>
      <c r="F136" s="2">
        <v>253</v>
      </c>
      <c r="G136">
        <v>25121</v>
      </c>
      <c r="H136">
        <v>10</v>
      </c>
      <c r="I136">
        <v>20.735462004575499</v>
      </c>
      <c r="J136">
        <v>0.19628483300039001</v>
      </c>
      <c r="K136">
        <v>1255</v>
      </c>
      <c r="L136">
        <v>1</v>
      </c>
      <c r="M136">
        <v>18.5869623788296</v>
      </c>
      <c r="N136">
        <v>4.1388329991605003E-3</v>
      </c>
      <c r="O136">
        <v>400</v>
      </c>
      <c r="P136">
        <v>1</v>
      </c>
      <c r="Q136">
        <v>18.586962379999999</v>
      </c>
      <c r="R136">
        <v>0.154548083</v>
      </c>
      <c r="S136" t="e">
        <f t="shared" si="5"/>
        <v>#N/A</v>
      </c>
      <c r="T136" s="3">
        <f t="shared" si="4"/>
        <v>0</v>
      </c>
    </row>
    <row r="137" spans="1:20" x14ac:dyDescent="0.3">
      <c r="A137">
        <f>1+A135</f>
        <v>68</v>
      </c>
      <c r="B137" t="s">
        <v>85</v>
      </c>
      <c r="C137" t="s">
        <v>55</v>
      </c>
      <c r="D137" t="s">
        <v>11</v>
      </c>
      <c r="E137" t="s">
        <v>93</v>
      </c>
      <c r="F137" s="2">
        <v>253</v>
      </c>
      <c r="G137">
        <v>25121</v>
      </c>
      <c r="H137">
        <v>10</v>
      </c>
      <c r="I137">
        <v>121.345629111354</v>
      </c>
      <c r="J137">
        <v>0.14701541699832801</v>
      </c>
      <c r="K137">
        <v>8684</v>
      </c>
      <c r="L137">
        <v>6</v>
      </c>
      <c r="M137">
        <v>238.995337271127</v>
      </c>
      <c r="N137">
        <v>1.9577874998503799E-2</v>
      </c>
      <c r="O137">
        <v>400</v>
      </c>
      <c r="P137">
        <v>16</v>
      </c>
      <c r="Q137">
        <v>67.075420469999997</v>
      </c>
      <c r="R137">
        <v>0.64493154200000002</v>
      </c>
      <c r="S137" t="e">
        <f t="shared" si="5"/>
        <v>#N/A</v>
      </c>
      <c r="T137" s="3">
        <f t="shared" si="4"/>
        <v>0</v>
      </c>
    </row>
    <row r="138" spans="1:20" x14ac:dyDescent="0.3">
      <c r="B138" t="s">
        <v>85</v>
      </c>
      <c r="C138" t="s">
        <v>55</v>
      </c>
      <c r="D138" t="s">
        <v>13</v>
      </c>
      <c r="E138" t="s">
        <v>93</v>
      </c>
      <c r="F138" s="2">
        <v>253</v>
      </c>
      <c r="G138">
        <v>25121</v>
      </c>
      <c r="H138">
        <v>10</v>
      </c>
      <c r="I138">
        <v>23.2809173403841</v>
      </c>
      <c r="J138">
        <v>0.20050408300085101</v>
      </c>
      <c r="K138">
        <v>1058</v>
      </c>
      <c r="L138">
        <v>1</v>
      </c>
      <c r="M138">
        <v>25.076166352619701</v>
      </c>
      <c r="N138">
        <v>3.5283339966554E-3</v>
      </c>
      <c r="O138">
        <v>400</v>
      </c>
      <c r="P138">
        <v>2</v>
      </c>
      <c r="Q138">
        <v>23.064590370000001</v>
      </c>
      <c r="R138">
        <v>0.29348849999999999</v>
      </c>
      <c r="S138" t="e">
        <f t="shared" si="5"/>
        <v>#N/A</v>
      </c>
      <c r="T138" s="3">
        <f t="shared" si="4"/>
        <v>0</v>
      </c>
    </row>
    <row r="139" spans="1:20" x14ac:dyDescent="0.3">
      <c r="A139">
        <f>1+A137</f>
        <v>69</v>
      </c>
      <c r="B139" t="s">
        <v>85</v>
      </c>
      <c r="C139" t="s">
        <v>55</v>
      </c>
      <c r="D139" t="s">
        <v>11</v>
      </c>
      <c r="E139" t="s">
        <v>94</v>
      </c>
      <c r="F139" s="2">
        <v>253</v>
      </c>
      <c r="G139">
        <v>25121</v>
      </c>
      <c r="H139">
        <v>10</v>
      </c>
      <c r="I139">
        <v>-487.78510779767998</v>
      </c>
      <c r="J139">
        <v>0.15651662500022201</v>
      </c>
      <c r="K139">
        <v>10260</v>
      </c>
      <c r="L139">
        <v>7</v>
      </c>
      <c r="M139">
        <v>-390.94840042505098</v>
      </c>
      <c r="N139">
        <v>2.3143667000113E-2</v>
      </c>
      <c r="O139">
        <v>400</v>
      </c>
      <c r="P139">
        <v>21</v>
      </c>
      <c r="Q139">
        <v>-677.50276719999999</v>
      </c>
      <c r="R139">
        <v>0.70734304100000001</v>
      </c>
      <c r="S139" t="e">
        <f t="shared" si="5"/>
        <v>#N/A</v>
      </c>
      <c r="T139" s="3">
        <f t="shared" si="4"/>
        <v>0</v>
      </c>
    </row>
    <row r="140" spans="1:20" x14ac:dyDescent="0.3">
      <c r="B140" t="s">
        <v>85</v>
      </c>
      <c r="C140" t="s">
        <v>55</v>
      </c>
      <c r="D140" t="s">
        <v>13</v>
      </c>
      <c r="E140" t="s">
        <v>94</v>
      </c>
      <c r="F140" s="2">
        <v>253</v>
      </c>
      <c r="G140">
        <v>25121</v>
      </c>
      <c r="H140">
        <v>10</v>
      </c>
      <c r="I140">
        <v>6.1040972615551796</v>
      </c>
      <c r="J140">
        <v>0.20153779199972599</v>
      </c>
      <c r="K140">
        <v>767</v>
      </c>
      <c r="L140">
        <v>1</v>
      </c>
      <c r="M140">
        <v>5.10085516309013</v>
      </c>
      <c r="N140">
        <v>2.5866670002868998E-3</v>
      </c>
      <c r="O140">
        <v>400</v>
      </c>
      <c r="P140">
        <v>1</v>
      </c>
      <c r="Q140">
        <v>5.1008551630000003</v>
      </c>
      <c r="R140">
        <v>0.153540708</v>
      </c>
      <c r="S140" t="e">
        <f t="shared" si="5"/>
        <v>#N/A</v>
      </c>
      <c r="T140" s="3">
        <f t="shared" si="4"/>
        <v>0</v>
      </c>
    </row>
    <row r="141" spans="1:20" x14ac:dyDescent="0.3">
      <c r="A141">
        <f>1+A139</f>
        <v>70</v>
      </c>
      <c r="B141" t="s">
        <v>85</v>
      </c>
      <c r="C141" t="s">
        <v>55</v>
      </c>
      <c r="D141" t="s">
        <v>11</v>
      </c>
      <c r="E141" t="s">
        <v>95</v>
      </c>
      <c r="F141" s="2">
        <v>265</v>
      </c>
      <c r="G141">
        <v>27983</v>
      </c>
      <c r="H141">
        <v>10</v>
      </c>
      <c r="I141">
        <v>-313.549685215029</v>
      </c>
      <c r="J141">
        <v>0.167512916999839</v>
      </c>
      <c r="K141">
        <v>11746</v>
      </c>
      <c r="L141">
        <v>6</v>
      </c>
      <c r="M141">
        <v>-184.12480472781601</v>
      </c>
      <c r="N141">
        <v>2.64587080018827E-2</v>
      </c>
      <c r="O141">
        <v>400</v>
      </c>
      <c r="P141">
        <v>17</v>
      </c>
      <c r="Q141">
        <v>-411.42965720000001</v>
      </c>
      <c r="R141">
        <v>0.76140470800000004</v>
      </c>
      <c r="S141" t="e">
        <f t="shared" si="5"/>
        <v>#N/A</v>
      </c>
      <c r="T141" s="3">
        <f t="shared" si="4"/>
        <v>0</v>
      </c>
    </row>
    <row r="142" spans="1:20" x14ac:dyDescent="0.3">
      <c r="B142" t="s">
        <v>85</v>
      </c>
      <c r="C142" t="s">
        <v>55</v>
      </c>
      <c r="D142" t="s">
        <v>13</v>
      </c>
      <c r="E142" t="s">
        <v>95</v>
      </c>
      <c r="F142" s="2">
        <v>265</v>
      </c>
      <c r="G142">
        <v>27983</v>
      </c>
      <c r="H142">
        <v>10</v>
      </c>
      <c r="I142">
        <v>9.9493468065287303</v>
      </c>
      <c r="J142">
        <v>0.221901666998746</v>
      </c>
      <c r="K142">
        <v>729</v>
      </c>
      <c r="L142">
        <v>1</v>
      </c>
      <c r="M142">
        <v>8.6403651136680697</v>
      </c>
      <c r="N142">
        <v>2.5266250013373701E-3</v>
      </c>
      <c r="O142">
        <v>400</v>
      </c>
      <c r="P142">
        <v>1</v>
      </c>
      <c r="Q142">
        <v>8.6403651139999997</v>
      </c>
      <c r="R142">
        <v>0.15736387499999999</v>
      </c>
      <c r="S142" t="e">
        <f t="shared" si="5"/>
        <v>#N/A</v>
      </c>
      <c r="T142" s="3">
        <f t="shared" si="4"/>
        <v>0</v>
      </c>
    </row>
  </sheetData>
  <conditionalFormatting sqref="T3:T142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Maniezzo</dc:creator>
  <cp:lastModifiedBy>Vittorio Maniezzo</cp:lastModifiedBy>
  <dcterms:created xsi:type="dcterms:W3CDTF">2026-03-13T07:57:58Z</dcterms:created>
  <dcterms:modified xsi:type="dcterms:W3CDTF">2026-03-13T17:20:32Z</dcterms:modified>
</cp:coreProperties>
</file>